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ayaljaiswani\Videos\"/>
    </mc:Choice>
  </mc:AlternateContent>
  <xr:revisionPtr revIDLastSave="0" documentId="8_{7A22B900-D01F-4201-806E-C5E7347CA06F}" xr6:coauthVersionLast="47" xr6:coauthVersionMax="47" xr10:uidLastSave="{00000000-0000-0000-0000-000000000000}"/>
  <bookViews>
    <workbookView xWindow="28680" yWindow="-120" windowWidth="29040" windowHeight="15720" activeTab="2" xr2:uid="{00000000-000D-0000-FFFF-FFFF00000000}"/>
  </bookViews>
  <sheets>
    <sheet name="2023 Transactions" sheetId="5" r:id="rId1"/>
    <sheet name="2024 Transactions" sheetId="1" r:id="rId2"/>
    <sheet name="2025 Transactions"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5" i="4" l="1"/>
  <c r="H36" i="4"/>
  <c r="H37" i="4"/>
  <c r="H38" i="4"/>
  <c r="H39" i="4"/>
  <c r="H40" i="4"/>
  <c r="H41" i="4"/>
  <c r="H42" i="4"/>
  <c r="H43" i="4"/>
  <c r="H44" i="4"/>
  <c r="H45" i="4"/>
  <c r="H34" i="4"/>
  <c r="C46" i="4"/>
  <c r="G44" i="5"/>
  <c r="F44" i="5"/>
  <c r="E44" i="5"/>
  <c r="F49" i="1"/>
  <c r="E49" i="1"/>
  <c r="I36" i="5"/>
  <c r="I37" i="5"/>
  <c r="I38" i="5"/>
  <c r="I39" i="5"/>
  <c r="I40" i="5"/>
  <c r="I35" i="5"/>
  <c r="D44" i="5"/>
  <c r="C44" i="5"/>
  <c r="H43" i="5"/>
  <c r="I43" i="5" s="1"/>
  <c r="H42" i="5"/>
  <c r="I42" i="5" s="1"/>
  <c r="H41" i="5"/>
  <c r="I41" i="5" s="1"/>
  <c r="B44" i="5"/>
  <c r="K4" i="5"/>
  <c r="H4" i="5"/>
  <c r="D4" i="5"/>
  <c r="A4" i="5"/>
  <c r="E46" i="4"/>
  <c r="D45" i="4"/>
  <c r="D44" i="4"/>
  <c r="D43" i="4"/>
  <c r="C48" i="1"/>
  <c r="C47" i="1"/>
  <c r="C45" i="1"/>
  <c r="C44" i="1"/>
  <c r="C43" i="1"/>
  <c r="C42" i="1"/>
  <c r="C41" i="1"/>
  <c r="C40" i="1"/>
  <c r="C39" i="1"/>
  <c r="C38" i="1"/>
  <c r="C37" i="1"/>
  <c r="D4" i="1"/>
  <c r="A4" i="1"/>
  <c r="D49" i="1"/>
  <c r="F46" i="4" l="1"/>
  <c r="G46" i="4"/>
  <c r="H44" i="5"/>
  <c r="I44" i="5"/>
  <c r="D46" i="4"/>
  <c r="C49" i="1"/>
  <c r="H46" i="4" l="1"/>
</calcChain>
</file>

<file path=xl/sharedStrings.xml><?xml version="1.0" encoding="utf-8"?>
<sst xmlns="http://schemas.openxmlformats.org/spreadsheetml/2006/main" count="169" uniqueCount="61">
  <si>
    <t>2024 Transfer, Salary and Card Transaction Tracker</t>
  </si>
  <si>
    <t>TOTAL TRANSFERS</t>
  </si>
  <si>
    <t>SALARY RECEIVED</t>
  </si>
  <si>
    <t>CREDIT CARD</t>
  </si>
  <si>
    <t>DEBIT CARD</t>
  </si>
  <si>
    <t>Transaction Details — enter salary and card amounts in the blank columns</t>
  </si>
  <si>
    <t>Monthly Summary</t>
  </si>
  <si>
    <t>Date</t>
  </si>
  <si>
    <t>Month</t>
  </si>
  <si>
    <t>Transfer Amount</t>
  </si>
  <si>
    <t>Salary Received</t>
  </si>
  <si>
    <t>Credit Card Transaction</t>
  </si>
  <si>
    <t>Debit Card Transaction</t>
  </si>
  <si>
    <t>Notes</t>
  </si>
  <si>
    <t>Salary</t>
  </si>
  <si>
    <t>Credit Card</t>
  </si>
  <si>
    <t>Debit Card</t>
  </si>
  <si>
    <t>Total Outgoing</t>
  </si>
  <si>
    <t>Jan</t>
  </si>
  <si>
    <t>Transfer</t>
  </si>
  <si>
    <t>Feb</t>
  </si>
  <si>
    <t>Mar</t>
  </si>
  <si>
    <t>Apr</t>
  </si>
  <si>
    <t>May</t>
  </si>
  <si>
    <t>Jun</t>
  </si>
  <si>
    <t>Jul</t>
  </si>
  <si>
    <t>Aug</t>
  </si>
  <si>
    <t>Sep</t>
  </si>
  <si>
    <t>Oct</t>
  </si>
  <si>
    <t>Nov</t>
  </si>
  <si>
    <t>Dec</t>
  </si>
  <si>
    <t>Annual Total</t>
  </si>
  <si>
    <t>Note: Transfer amounts are populated from the information provided. Salary, credit-card and debit-card fields are intentionally blank for later entry. Monthly and annual totals recalculate automatically.</t>
  </si>
  <si>
    <t>We were in India; no transfer date provided</t>
  </si>
  <si>
    <t>2023 Transfer, Salary and Card Transaction Tracker</t>
  </si>
  <si>
    <t>2025 Transfer, Salary and Card Transaction Tracker</t>
  </si>
  <si>
    <t>Travel</t>
  </si>
  <si>
    <t>Grocery</t>
  </si>
  <si>
    <t>Restaurant</t>
  </si>
  <si>
    <t>Gas</t>
  </si>
  <si>
    <t>Shopping Walmart</t>
  </si>
  <si>
    <t>Column1</t>
  </si>
  <si>
    <t>Pharmacy/Beauty/other</t>
  </si>
  <si>
    <t>Column3</t>
  </si>
  <si>
    <t>Zelle Transfer to MR Matlani</t>
  </si>
  <si>
    <t>Remitly Transaction</t>
  </si>
  <si>
    <t>India</t>
  </si>
  <si>
    <t>During this time there are transactions in debit card for Airbnb/Travel, Restaurant , House Hold Items , Gas , Flight Bookings and other miscellaneous expenses</t>
  </si>
  <si>
    <t>India 15th Dec</t>
  </si>
  <si>
    <t>From October 28 through December 15, 2024, Mr. Matlani and I were in India, where we had travelled together to celebrate Diwali in his hometown of Ahmedabad. Because I was not permitted to purchase certain basic personal and feminine necessities in the United States, I transferred approximately $1,300 to India to purchase those items, along with approximately $300 toward the mortgage on my property.
After the Diwali celebrations, Mr. Matlani reviewed my bank account and became angry about these expenditures. On November 2, 2024, approximately two days after the conflict began, his anger escalated, and he forced me to leave his family’s residence in Ahmedabad. He then blocked all communication with me for more than 30 days. When he eventually resumed contact, he demanded complete control over my salary and finances.</t>
  </si>
  <si>
    <r>
      <rPr>
        <b/>
        <sz val="11"/>
        <color rgb="FFFF0000"/>
        <rFont val="Carlito"/>
      </rPr>
      <t>Mr. Matlani’s parents stayed with us in the United States for approximately three months(Jan 2024-April 2024)</t>
    </r>
    <r>
      <rPr>
        <b/>
        <sz val="11"/>
        <color theme="1"/>
        <rFont val="Carlito"/>
      </rPr>
      <t>. During their stay, Mr. Matlani and I jointly managed and contributed toward their expenses. I paid for their incoming airfare and also covered other household and regular expenses. Mr. Matlani used my credit card for certain day-to-day expenses. From approximately January through March, he used his own credit card to pay for expenses relating to his parents, including a trip to San Francisco, restaurant bills, shopping in the United States, a trip to Las Vegas, and other miscellaneous expenses.</t>
    </r>
  </si>
  <si>
    <t>Mr matlani had my credit card and he was using  to Pay grocery , Restaurant bill, Gas bill and most of the purchases including travel.Most of My salary in 2024 went towards marital expenses.His credit acrd bill are under 200$.</t>
  </si>
  <si>
    <t>Remitly</t>
  </si>
  <si>
    <t>1st August I travelled to India after Mr. Matlani became violent and we had argument.</t>
  </si>
  <si>
    <t>Zelle Transfers</t>
  </si>
  <si>
    <t>Since our marriage, I paid the health-insurance premiums and maintained health-insurance coverage, including coverage related to my pregnancy and associated medical care.</t>
  </si>
  <si>
    <t>I paid for tesla Downpayment and other amount he was keeping . He was using my credit card for all other expenses.</t>
  </si>
  <si>
    <t>miscarriage, subsequent medical treatment and related care, as well as the airfare for my return travel to the United States</t>
  </si>
  <si>
    <t>Mr. Matlani took control of these funds and demanded that I surrender 100% of my salary to him, threatening to file for divorce if I refused.</t>
  </si>
  <si>
    <t xml:space="preserve">Rudrakash/ruby/peal puchase </t>
  </si>
  <si>
    <t>Downpayment of 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</si>
</sst>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2">
    <font>
      <sz val="11"/>
      <name val="Carlito"/>
    </font>
    <font>
      <b/>
      <sz val="16"/>
      <color rgb="FFFFFFFF"/>
      <name val="Carlito"/>
    </font>
    <font>
      <b/>
      <sz val="11"/>
      <color rgb="FF17365D"/>
      <name val="Carlito"/>
    </font>
    <font>
      <b/>
      <sz val="14"/>
      <color rgb="FF17365D"/>
      <name val="Carlito"/>
    </font>
    <font>
      <b/>
      <sz val="11"/>
      <color rgb="FFFFFFFF"/>
      <name val="Carlito"/>
    </font>
    <font>
      <b/>
      <sz val="11"/>
      <color rgb="FF274E13"/>
      <name val="Carlito"/>
    </font>
    <font>
      <i/>
      <sz val="11"/>
      <color rgb="FF7F6000"/>
      <name val="Carlito"/>
    </font>
    <font>
      <sz val="11"/>
      <color rgb="FF9C0006"/>
      <name val="Calibri"/>
      <family val="2"/>
      <scheme val="minor"/>
    </font>
    <font>
      <b/>
      <sz val="11"/>
      <color theme="1"/>
      <name val="Carlito"/>
    </font>
    <font>
      <b/>
      <sz val="11"/>
      <name val="Carlito"/>
    </font>
    <font>
      <b/>
      <sz val="11"/>
      <color rgb="FFFF0000"/>
      <name val="Carlito"/>
    </font>
    <font>
      <b/>
      <sz val="11"/>
      <color rgb="FF9C0006"/>
      <name val="Calibri"/>
      <family val="2"/>
      <scheme val="minor"/>
    </font>
  </fonts>
  <fills count="14">
    <fill>
      <patternFill patternType="none"/>
    </fill>
    <fill>
      <patternFill patternType="gray125"/>
    </fill>
    <fill>
      <patternFill patternType="solid">
        <fgColor rgb="FF17365D"/>
      </patternFill>
    </fill>
    <fill>
      <patternFill patternType="solid">
        <fgColor rgb="FFEAF2F8"/>
      </patternFill>
    </fill>
    <fill>
      <patternFill patternType="solid">
        <fgColor rgb="FFD9EAF7"/>
      </patternFill>
    </fill>
    <fill>
      <patternFill patternType="solid">
        <fgColor rgb="FF2F75B5"/>
      </patternFill>
    </fill>
    <fill>
      <patternFill patternType="solid">
        <fgColor rgb="FFFFF9E6"/>
      </patternFill>
    </fill>
    <fill>
      <patternFill patternType="solid">
        <fgColor rgb="FFF7FAFC"/>
      </patternFill>
    </fill>
    <fill>
      <patternFill patternType="solid">
        <fgColor rgb="FFD9EAD3"/>
      </patternFill>
    </fill>
    <fill>
      <patternFill patternType="solid">
        <fgColor rgb="FF548235"/>
      </patternFill>
    </fill>
    <fill>
      <patternFill patternType="solid">
        <fgColor rgb="FFE2F0D9"/>
      </patternFill>
    </fill>
    <fill>
      <patternFill patternType="solid">
        <fgColor rgb="FFFFF2CC"/>
      </patternFill>
    </fill>
    <fill>
      <patternFill patternType="solid">
        <fgColor rgb="FFFFC7CE"/>
      </patternFill>
    </fill>
    <fill>
      <patternFill patternType="solid">
        <fgColor theme="3" tint="0.749992370372631"/>
        <bgColor indexed="64"/>
      </patternFill>
    </fill>
  </fills>
  <borders count="23">
    <border>
      <left/>
      <right/>
      <top/>
      <bottom/>
      <diagonal/>
    </border>
    <border>
      <left style="thin">
        <color rgb="FF9FBAD0"/>
      </left>
      <right/>
      <top style="thin">
        <color rgb="FF9FBAD0"/>
      </top>
      <bottom/>
      <diagonal/>
    </border>
    <border>
      <left/>
      <right style="thin">
        <color rgb="FF9FBAD0"/>
      </right>
      <top style="thin">
        <color rgb="FF9FBAD0"/>
      </top>
      <bottom/>
      <diagonal/>
    </border>
    <border>
      <left style="thin">
        <color rgb="FF9FBAD0"/>
      </left>
      <right/>
      <top/>
      <bottom style="thin">
        <color rgb="FF9FBAD0"/>
      </bottom>
      <diagonal/>
    </border>
    <border>
      <left/>
      <right style="thin">
        <color rgb="FF9FBAD0"/>
      </right>
      <top/>
      <bottom style="thin">
        <color rgb="FF9FBAD0"/>
      </bottom>
      <diagonal/>
    </border>
    <border>
      <left style="thin">
        <color rgb="FF1F4E78"/>
      </left>
      <right/>
      <top style="thin">
        <color rgb="FF1F4E78"/>
      </top>
      <bottom style="thin">
        <color rgb="FF1F4E78"/>
      </bottom>
      <diagonal/>
    </border>
    <border>
      <left/>
      <right/>
      <top style="thin">
        <color rgb="FF1F4E78"/>
      </top>
      <bottom style="thin">
        <color rgb="FF1F4E78"/>
      </bottom>
      <diagonal/>
    </border>
    <border>
      <left/>
      <right style="thin">
        <color rgb="FF1F4E78"/>
      </right>
      <top style="thin">
        <color rgb="FF1F4E78"/>
      </top>
      <bottom style="thin">
        <color rgb="FF1F4E78"/>
      </bottom>
      <diagonal/>
    </border>
    <border>
      <left/>
      <right/>
      <top/>
      <bottom style="thin">
        <color rgb="FFD9E2F3"/>
      </bottom>
      <diagonal/>
    </border>
    <border>
      <left/>
      <right/>
      <top style="thin">
        <color rgb="FFD9E2F3"/>
      </top>
      <bottom style="thin">
        <color rgb="FFD9E2F3"/>
      </bottom>
      <diagonal/>
    </border>
    <border>
      <left/>
      <right/>
      <top style="thin">
        <color rgb="FFD9E2F3"/>
      </top>
      <bottom style="thin">
        <color rgb="FF9FBAD0"/>
      </bottom>
      <diagonal/>
    </border>
    <border>
      <left/>
      <right/>
      <top/>
      <bottom style="thin">
        <color rgb="FFD9EAD3"/>
      </bottom>
      <diagonal/>
    </border>
    <border>
      <left/>
      <right/>
      <top style="thin">
        <color rgb="FFD9EAD3"/>
      </top>
      <bottom style="thin">
        <color rgb="FFD9EAD3"/>
      </bottom>
      <diagonal/>
    </border>
    <border>
      <left/>
      <right/>
      <top style="thin">
        <color rgb="FFD9EAD3"/>
      </top>
      <bottom style="double">
        <color rgb="FF548235"/>
      </bottom>
      <diagonal/>
    </border>
    <border>
      <left style="thin">
        <color rgb="FFD6B656"/>
      </left>
      <right/>
      <top style="thin">
        <color rgb="FFD6B656"/>
      </top>
      <bottom/>
      <diagonal/>
    </border>
    <border>
      <left/>
      <right/>
      <top style="thin">
        <color rgb="FFD6B656"/>
      </top>
      <bottom/>
      <diagonal/>
    </border>
    <border>
      <left/>
      <right style="thin">
        <color rgb="FFD6B656"/>
      </right>
      <top style="thin">
        <color rgb="FFD6B656"/>
      </top>
      <bottom/>
      <diagonal/>
    </border>
    <border>
      <left style="thin">
        <color rgb="FFD6B656"/>
      </left>
      <right/>
      <top/>
      <bottom/>
      <diagonal/>
    </border>
    <border>
      <left/>
      <right style="thin">
        <color rgb="FFD6B656"/>
      </right>
      <top/>
      <bottom/>
      <diagonal/>
    </border>
    <border>
      <left style="thin">
        <color rgb="FFD6B656"/>
      </left>
      <right/>
      <top/>
      <bottom style="thin">
        <color rgb="FFD6B656"/>
      </bottom>
      <diagonal/>
    </border>
    <border>
      <left/>
      <right/>
      <top/>
      <bottom style="thin">
        <color rgb="FFD6B656"/>
      </bottom>
      <diagonal/>
    </border>
    <border>
      <left/>
      <right style="thin">
        <color rgb="FFD6B656"/>
      </right>
      <top/>
      <bottom style="thin">
        <color rgb="FFD6B656"/>
      </bottom>
      <diagonal/>
    </border>
    <border>
      <left/>
      <right/>
      <top/>
      <bottom style="thin">
        <color rgb="FF1F4E78"/>
      </bottom>
      <diagonal/>
    </border>
  </borders>
  <cellStyleXfs count="2">
    <xf numFmtId="0" fontId="0" fillId="0" borderId="0"/>
    <xf numFmtId="0" fontId="7" fillId="12" borderId="0" applyNumberFormat="0" applyBorder="0" applyAlignment="0" applyProtection="0"/>
  </cellStyleXfs>
  <cellXfs count="72">
    <xf numFmtId="0" fontId="0" fillId="0" borderId="0" xfId="0"/>
    <xf numFmtId="0" fontId="2" fillId="3" borderId="2" xfId="0" applyFont="1" applyFill="1" applyBorder="1" applyAlignment="1">
      <alignment horizontal="center" vertical="center"/>
    </xf>
    <xf numFmtId="0" fontId="2" fillId="0" borderId="0" xfId="0" applyFont="1"/>
    <xf numFmtId="164" fontId="3" fillId="3" borderId="4" xfId="0" applyNumberFormat="1" applyFont="1" applyFill="1" applyBorder="1" applyAlignment="1">
      <alignment horizontal="center" vertical="center"/>
    </xf>
    <xf numFmtId="164" fontId="3" fillId="0" borderId="0" xfId="0" applyNumberFormat="1" applyFont="1"/>
    <xf numFmtId="0" fontId="4" fillId="5" borderId="5"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7" xfId="0" applyFont="1" applyFill="1" applyBorder="1" applyAlignment="1">
      <alignment horizontal="center" vertical="center" wrapText="1"/>
    </xf>
    <xf numFmtId="14" fontId="0" fillId="0" borderId="0" xfId="0" applyNumberFormat="1"/>
    <xf numFmtId="164" fontId="0" fillId="6" borderId="8" xfId="0" applyNumberFormat="1" applyFill="1" applyBorder="1"/>
    <xf numFmtId="164" fontId="0" fillId="6" borderId="9" xfId="0" applyNumberFormat="1" applyFill="1" applyBorder="1"/>
    <xf numFmtId="164" fontId="0" fillId="6" borderId="10" xfId="0" applyNumberFormat="1" applyFill="1" applyBorder="1"/>
    <xf numFmtId="14" fontId="0" fillId="7" borderId="8" xfId="0" applyNumberFormat="1" applyFill="1" applyBorder="1"/>
    <xf numFmtId="0" fontId="0" fillId="7" borderId="8" xfId="0" applyFill="1" applyBorder="1"/>
    <xf numFmtId="14" fontId="0" fillId="7" borderId="9" xfId="0" applyNumberFormat="1" applyFill="1" applyBorder="1"/>
    <xf numFmtId="0" fontId="0" fillId="7" borderId="9" xfId="0" applyFill="1" applyBorder="1"/>
    <xf numFmtId="14" fontId="0" fillId="7" borderId="10" xfId="0" applyNumberFormat="1" applyFill="1" applyBorder="1"/>
    <xf numFmtId="0" fontId="0" fillId="7" borderId="10" xfId="0" applyFill="1" applyBorder="1"/>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4" fillId="9" borderId="0" xfId="0" applyFont="1" applyFill="1" applyAlignment="1">
      <alignment horizontal="center" vertical="center" wrapText="1"/>
    </xf>
    <xf numFmtId="0" fontId="0" fillId="0" borderId="11" xfId="0" applyBorder="1"/>
    <xf numFmtId="164" fontId="0" fillId="0" borderId="11" xfId="0" applyNumberFormat="1" applyBorder="1"/>
    <xf numFmtId="0" fontId="0" fillId="0" borderId="12" xfId="0" applyBorder="1"/>
    <xf numFmtId="164" fontId="0" fillId="0" borderId="12" xfId="0" applyNumberFormat="1" applyBorder="1"/>
    <xf numFmtId="0" fontId="5" fillId="10" borderId="13" xfId="0" applyFont="1" applyFill="1" applyBorder="1"/>
    <xf numFmtId="164" fontId="5" fillId="10" borderId="13" xfId="0" applyNumberFormat="1" applyFont="1" applyFill="1" applyBorder="1"/>
    <xf numFmtId="0" fontId="1" fillId="2" borderId="0" xfId="0" applyFont="1" applyFill="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164" fontId="3" fillId="3" borderId="4" xfId="0" applyNumberFormat="1" applyFont="1" applyFill="1" applyBorder="1" applyAlignment="1">
      <alignment horizontal="center" vertical="center"/>
    </xf>
    <xf numFmtId="0" fontId="2" fillId="4" borderId="0" xfId="0" applyFont="1" applyFill="1"/>
    <xf numFmtId="0" fontId="5" fillId="8" borderId="0" xfId="0" applyFont="1" applyFill="1" applyAlignment="1">
      <alignment horizontal="center"/>
    </xf>
    <xf numFmtId="0" fontId="6" fillId="11" borderId="14" xfId="0" applyFont="1" applyFill="1" applyBorder="1" applyAlignment="1">
      <alignment vertical="top" wrapText="1"/>
    </xf>
    <xf numFmtId="0" fontId="6" fillId="11" borderId="15" xfId="0" applyFont="1" applyFill="1" applyBorder="1" applyAlignment="1">
      <alignment vertical="top" wrapText="1"/>
    </xf>
    <xf numFmtId="0" fontId="6" fillId="11" borderId="16" xfId="0" applyFont="1" applyFill="1" applyBorder="1" applyAlignment="1">
      <alignment vertical="top" wrapText="1"/>
    </xf>
    <xf numFmtId="0" fontId="6" fillId="11" borderId="17" xfId="0" applyFont="1" applyFill="1" applyBorder="1" applyAlignment="1">
      <alignment vertical="top" wrapText="1"/>
    </xf>
    <xf numFmtId="0" fontId="6" fillId="11" borderId="0" xfId="0" applyFont="1" applyFill="1" applyAlignment="1">
      <alignment vertical="top" wrapText="1"/>
    </xf>
    <xf numFmtId="0" fontId="6" fillId="11" borderId="18" xfId="0" applyFont="1" applyFill="1" applyBorder="1" applyAlignment="1">
      <alignment vertical="top" wrapText="1"/>
    </xf>
    <xf numFmtId="0" fontId="6" fillId="11" borderId="19" xfId="0" applyFont="1" applyFill="1" applyBorder="1" applyAlignment="1">
      <alignment vertical="top" wrapText="1"/>
    </xf>
    <xf numFmtId="0" fontId="6" fillId="11" borderId="20" xfId="0" applyFont="1" applyFill="1" applyBorder="1" applyAlignment="1">
      <alignment vertical="top" wrapText="1"/>
    </xf>
    <xf numFmtId="0" fontId="6" fillId="11" borderId="21" xfId="0" applyFont="1" applyFill="1" applyBorder="1" applyAlignment="1">
      <alignment vertical="top" wrapText="1"/>
    </xf>
    <xf numFmtId="164" fontId="0" fillId="3" borderId="3" xfId="0" applyNumberFormat="1" applyFont="1" applyFill="1" applyBorder="1" applyAlignment="1">
      <alignment horizontal="center" vertical="center"/>
    </xf>
    <xf numFmtId="164" fontId="0" fillId="0" borderId="11" xfId="0" applyNumberFormat="1" applyBorder="1" applyAlignment="1">
      <alignment horizontal="center"/>
    </xf>
    <xf numFmtId="164" fontId="0" fillId="0" borderId="12" xfId="0" applyNumberFormat="1" applyBorder="1" applyAlignment="1">
      <alignment horizontal="center"/>
    </xf>
    <xf numFmtId="164" fontId="5" fillId="10" borderId="13" xfId="0" applyNumberFormat="1" applyFont="1" applyFill="1" applyBorder="1" applyAlignment="1">
      <alignment horizontal="center"/>
    </xf>
    <xf numFmtId="0" fontId="6" fillId="11" borderId="0" xfId="0" applyFont="1" applyFill="1" applyBorder="1" applyAlignment="1">
      <alignment vertical="top" wrapText="1"/>
    </xf>
    <xf numFmtId="0" fontId="2" fillId="3" borderId="0" xfId="0" applyFont="1" applyFill="1" applyBorder="1" applyAlignment="1">
      <alignment horizontal="center" vertical="center"/>
    </xf>
    <xf numFmtId="164" fontId="3" fillId="3" borderId="0" xfId="0" applyNumberFormat="1" applyFont="1" applyFill="1" applyBorder="1" applyAlignment="1">
      <alignment horizontal="center" vertical="center"/>
    </xf>
    <xf numFmtId="0" fontId="4" fillId="9" borderId="0" xfId="0" applyFont="1" applyFill="1" applyAlignment="1">
      <alignment vertical="center" wrapText="1"/>
    </xf>
    <xf numFmtId="164" fontId="0" fillId="6" borderId="8" xfId="0" applyNumberFormat="1" applyFill="1" applyBorder="1" applyAlignment="1">
      <alignment horizontal="center"/>
    </xf>
    <xf numFmtId="164" fontId="0" fillId="6" borderId="9" xfId="0" applyNumberFormat="1" applyFill="1" applyBorder="1" applyAlignment="1">
      <alignment horizontal="center"/>
    </xf>
    <xf numFmtId="164" fontId="0" fillId="0" borderId="0" xfId="0" applyNumberFormat="1" applyFill="1" applyBorder="1" applyAlignment="1">
      <alignment horizontal="center"/>
    </xf>
    <xf numFmtId="164" fontId="8" fillId="0" borderId="12" xfId="0" applyNumberFormat="1" applyFont="1" applyBorder="1" applyAlignment="1">
      <alignment horizontal="center"/>
    </xf>
    <xf numFmtId="0" fontId="8" fillId="0" borderId="0" xfId="0" applyFont="1"/>
    <xf numFmtId="0" fontId="8" fillId="0" borderId="0" xfId="0" applyFont="1" applyAlignment="1"/>
    <xf numFmtId="0" fontId="0" fillId="0" borderId="11" xfId="0" applyBorder="1" applyAlignment="1">
      <alignment horizontal="center"/>
    </xf>
    <xf numFmtId="0" fontId="0" fillId="0" borderId="12" xfId="0" applyBorder="1" applyAlignment="1">
      <alignment horizontal="center"/>
    </xf>
    <xf numFmtId="0" fontId="8" fillId="0" borderId="12" xfId="0" applyFont="1" applyBorder="1" applyAlignment="1">
      <alignment horizontal="center"/>
    </xf>
    <xf numFmtId="0" fontId="7" fillId="12" borderId="12" xfId="1" applyBorder="1" applyAlignment="1">
      <alignment horizontal="center"/>
    </xf>
    <xf numFmtId="164" fontId="7" fillId="12" borderId="12" xfId="1" applyNumberFormat="1" applyBorder="1" applyAlignment="1">
      <alignment horizontal="center"/>
    </xf>
    <xf numFmtId="0" fontId="2" fillId="4" borderId="22" xfId="0" applyFont="1" applyFill="1" applyBorder="1"/>
    <xf numFmtId="164" fontId="0" fillId="3" borderId="4" xfId="0" applyNumberFormat="1" applyFont="1" applyFill="1" applyBorder="1" applyAlignment="1">
      <alignment horizontal="center" vertical="center"/>
    </xf>
    <xf numFmtId="0" fontId="9" fillId="0" borderId="0" xfId="0" applyFont="1"/>
    <xf numFmtId="0" fontId="9" fillId="7" borderId="9" xfId="0" applyFont="1" applyFill="1" applyBorder="1"/>
    <xf numFmtId="164" fontId="9" fillId="6" borderId="9" xfId="0" applyNumberFormat="1" applyFont="1" applyFill="1" applyBorder="1"/>
    <xf numFmtId="0" fontId="9" fillId="0" borderId="9" xfId="0" applyFont="1" applyBorder="1" applyAlignment="1">
      <alignment wrapText="1"/>
    </xf>
    <xf numFmtId="14" fontId="9" fillId="7" borderId="9" xfId="0" applyNumberFormat="1" applyFont="1" applyFill="1" applyBorder="1"/>
    <xf numFmtId="0" fontId="5" fillId="10" borderId="13" xfId="0" applyFont="1" applyFill="1" applyBorder="1" applyAlignment="1">
      <alignment horizontal="center"/>
    </xf>
    <xf numFmtId="0" fontId="11" fillId="13" borderId="12" xfId="1" applyFont="1" applyFill="1" applyBorder="1" applyAlignment="1">
      <alignment horizontal="center"/>
    </xf>
    <xf numFmtId="0" fontId="0" fillId="0" borderId="0" xfId="0" applyAlignment="1">
      <alignment horizontal="right"/>
    </xf>
  </cellXfs>
  <cellStyles count="2">
    <cellStyle name="Bad" xfId="1" builtinId="27"/>
    <cellStyle name="Normal" xfId="0" builtinId="0"/>
  </cellStyles>
  <dxfs count="2">
    <dxf>
      <numFmt numFmtId="164" formatCode="\$#,##0.00"/>
      <fill>
        <patternFill patternType="solid">
          <fgColor indexed="64"/>
          <bgColor rgb="FFFFF9E6"/>
        </patternFill>
      </fill>
      <border diagonalUp="0" diagonalDown="0">
        <left/>
        <right/>
        <top style="thin">
          <color rgb="FFD9E2F3"/>
        </top>
        <bottom style="thin">
          <color rgb="FFD9E2F3"/>
        </bottom>
        <vertical/>
        <horizontal/>
      </border>
    </dxf>
    <dxf>
      <numFmt numFmtId="164" formatCode="\$#,##0.00"/>
      <fill>
        <patternFill patternType="solid">
          <fgColor indexed="64"/>
          <bgColor rgb="FFFFF9E6"/>
        </patternFill>
      </fill>
      <border diagonalUp="0" diagonalDown="0">
        <left/>
        <right/>
        <top style="thin">
          <color rgb="FFD9E2F3"/>
        </top>
        <bottom style="thin">
          <color rgb="FFD9E2F3"/>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62E452-292B-4E49-9411-B9934B410F83}" name="Transactions20245" displayName="Transactions20245" ref="A7:H30" totalsRowShown="0">
  <autoFilter ref="A7:H30" xr:uid="{A962E452-292B-4E49-9411-B9934B410F83}"/>
  <tableColumns count="8">
    <tableColumn id="1" xr3:uid="{5D115D28-87FA-47EA-8872-9D95D8FDD72D}" name="Date"/>
    <tableColumn id="2" xr3:uid="{1E09A3ED-5365-4B5B-B393-3DF2A9A3EEB0}" name="Month"/>
    <tableColumn id="3" xr3:uid="{1285A4C9-CB92-4856-8589-7ADA47D49126}" name="Transfer Amount"/>
    <tableColumn id="4" xr3:uid="{CED50B37-E649-4C24-947B-F2FC19ADDD76}" name="Salary Received"/>
    <tableColumn id="5" xr3:uid="{58B33F47-3C5B-4451-BCC1-DAED09F89668}" name="Credit Card Transaction"/>
    <tableColumn id="6" xr3:uid="{EC035F37-B758-4FEF-B0F5-E2000284A3F1}" name="Debit Card Transaction"/>
    <tableColumn id="8" xr3:uid="{F6604BE0-D801-4409-A622-91083DEAA99C}" name="Column1" dataDxfId="1"/>
    <tableColumn id="7" xr3:uid="{C9B10019-7A8D-4A5E-977C-38DE349484FC}"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nsactions2024" displayName="Transactions2024" ref="A7:F30" totalsRowShown="0">
  <autoFilter ref="A7:F30" xr:uid="{00000000-0009-0000-0100-000001000000}"/>
  <tableColumns count="6">
    <tableColumn id="1" xr3:uid="{00000000-0010-0000-0000-000001000000}" name="Date"/>
    <tableColumn id="2" xr3:uid="{00000000-0010-0000-0000-000002000000}" name="Month"/>
    <tableColumn id="3" xr3:uid="{00000000-0010-0000-0000-000003000000}" name="Transfer Amount"/>
    <tableColumn id="4" xr3:uid="{00000000-0010-0000-0000-000004000000}" name="Salary Received"/>
    <tableColumn id="5" xr3:uid="{00000000-0010-0000-0000-000005000000}" name="Credit Card Transaction"/>
    <tableColumn id="10" xr3:uid="{859F3BBD-73C9-4AD2-9289-0DA14AD77573}" name="Column3"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1CEC1-7E32-439B-9BF5-1B6DDB63A864}">
  <dimension ref="A1:Q48"/>
  <sheetViews>
    <sheetView topLeftCell="A22" workbookViewId="0">
      <selection activeCell="C38" sqref="C38"/>
    </sheetView>
  </sheetViews>
  <sheetFormatPr defaultRowHeight="14"/>
  <cols>
    <col min="1" max="1" width="13" customWidth="1"/>
    <col min="2" max="2" width="10" customWidth="1"/>
    <col min="3" max="7" width="18" customWidth="1"/>
    <col min="8" max="8" width="34" customWidth="1"/>
    <col min="9" max="9" width="22.9140625" customWidth="1"/>
    <col min="10" max="10" width="13" customWidth="1"/>
    <col min="11" max="11" width="15.75" customWidth="1"/>
    <col min="12" max="12" width="9.25" customWidth="1"/>
    <col min="13" max="14" width="8.5" customWidth="1"/>
    <col min="15" max="17" width="16" customWidth="1"/>
  </cols>
  <sheetData>
    <row r="1" spans="1:17" ht="30" customHeight="1">
      <c r="A1" s="28" t="s">
        <v>34</v>
      </c>
      <c r="B1" s="28"/>
      <c r="C1" s="28"/>
      <c r="D1" s="28"/>
      <c r="E1" s="28"/>
      <c r="F1" s="28"/>
      <c r="G1" s="28"/>
      <c r="H1" s="28"/>
      <c r="I1" s="28"/>
      <c r="J1" s="28"/>
      <c r="K1" s="28"/>
      <c r="L1" s="28"/>
      <c r="M1" s="28"/>
      <c r="N1" s="28"/>
      <c r="O1" s="28"/>
      <c r="P1" s="28"/>
      <c r="Q1" s="28"/>
    </row>
    <row r="3" spans="1:17">
      <c r="A3" s="29" t="s">
        <v>1</v>
      </c>
      <c r="B3" s="30"/>
      <c r="C3" s="2"/>
      <c r="D3" s="29" t="s">
        <v>2</v>
      </c>
      <c r="E3" s="30"/>
      <c r="F3" s="2"/>
      <c r="G3" s="2"/>
      <c r="H3" s="29" t="s">
        <v>3</v>
      </c>
      <c r="I3" s="30"/>
      <c r="J3" s="2"/>
      <c r="K3" s="29" t="s">
        <v>4</v>
      </c>
      <c r="L3" s="30"/>
    </row>
    <row r="4" spans="1:17" ht="18">
      <c r="A4" s="43">
        <f>SUM(C8:C30)</f>
        <v>0</v>
      </c>
      <c r="B4" s="31"/>
      <c r="C4" s="4"/>
      <c r="D4" s="43">
        <f>SUM(D8:D30)</f>
        <v>0</v>
      </c>
      <c r="E4" s="31"/>
      <c r="F4" s="4"/>
      <c r="G4" s="4"/>
      <c r="H4" s="43">
        <f>SUM(E8:E30)</f>
        <v>719</v>
      </c>
      <c r="I4" s="31"/>
      <c r="J4" s="4"/>
      <c r="K4" s="43">
        <f>SUM(F8:F30)</f>
        <v>0</v>
      </c>
      <c r="L4" s="31"/>
    </row>
    <row r="6" spans="1:17">
      <c r="A6" s="32" t="s">
        <v>5</v>
      </c>
      <c r="B6" s="32"/>
      <c r="C6" s="32"/>
      <c r="D6" s="32"/>
      <c r="E6" s="32"/>
      <c r="F6" s="32"/>
      <c r="G6" s="32"/>
      <c r="H6" s="32"/>
    </row>
    <row r="7" spans="1:17" ht="34" customHeight="1">
      <c r="A7" s="5" t="s">
        <v>7</v>
      </c>
      <c r="B7" s="6" t="s">
        <v>8</v>
      </c>
      <c r="C7" s="6" t="s">
        <v>9</v>
      </c>
      <c r="D7" s="6" t="s">
        <v>10</v>
      </c>
      <c r="E7" s="6" t="s">
        <v>11</v>
      </c>
      <c r="F7" s="6" t="s">
        <v>12</v>
      </c>
      <c r="G7" s="6" t="s">
        <v>41</v>
      </c>
      <c r="H7" s="7" t="s">
        <v>13</v>
      </c>
    </row>
    <row r="8" spans="1:17">
      <c r="A8" s="12">
        <v>44948</v>
      </c>
      <c r="B8" s="13" t="s">
        <v>18</v>
      </c>
      <c r="C8" s="9">
        <v>0</v>
      </c>
      <c r="D8" s="23"/>
      <c r="E8" s="9">
        <v>719</v>
      </c>
      <c r="F8" s="9"/>
      <c r="G8" s="9"/>
      <c r="H8" s="18" t="s">
        <v>19</v>
      </c>
    </row>
    <row r="9" spans="1:17">
      <c r="A9" s="14">
        <v>45317</v>
      </c>
      <c r="B9" s="15" t="s">
        <v>18</v>
      </c>
      <c r="C9" s="9">
        <v>0</v>
      </c>
      <c r="D9" s="23"/>
      <c r="E9" s="10"/>
      <c r="F9" s="10"/>
      <c r="G9" s="10"/>
      <c r="H9" s="19" t="s">
        <v>19</v>
      </c>
    </row>
    <row r="10" spans="1:17">
      <c r="A10" s="14">
        <v>45323</v>
      </c>
      <c r="B10" s="15" t="s">
        <v>20</v>
      </c>
      <c r="C10" s="9">
        <v>0</v>
      </c>
      <c r="D10" s="23"/>
      <c r="E10" s="10"/>
      <c r="F10" s="10"/>
      <c r="G10" s="10"/>
      <c r="H10" s="19" t="s">
        <v>19</v>
      </c>
    </row>
    <row r="11" spans="1:17">
      <c r="A11" s="14">
        <v>45331</v>
      </c>
      <c r="B11" s="15" t="s">
        <v>20</v>
      </c>
      <c r="C11" s="9">
        <v>0</v>
      </c>
      <c r="D11" s="23"/>
      <c r="E11" s="10"/>
      <c r="F11" s="10"/>
      <c r="G11" s="10"/>
      <c r="H11" s="19" t="s">
        <v>19</v>
      </c>
    </row>
    <row r="12" spans="1:17">
      <c r="A12" s="14">
        <v>45335</v>
      </c>
      <c r="B12" s="15" t="s">
        <v>20</v>
      </c>
      <c r="C12" s="9">
        <v>0</v>
      </c>
      <c r="D12" s="23"/>
      <c r="E12" s="10"/>
      <c r="F12" s="10"/>
      <c r="G12" s="10"/>
      <c r="H12" s="19" t="s">
        <v>19</v>
      </c>
    </row>
    <row r="13" spans="1:17">
      <c r="A13" s="14">
        <v>45348</v>
      </c>
      <c r="B13" s="15" t="s">
        <v>20</v>
      </c>
      <c r="C13" s="9">
        <v>0</v>
      </c>
      <c r="D13" s="23"/>
      <c r="E13" s="10"/>
      <c r="F13" s="10"/>
      <c r="G13" s="10"/>
      <c r="H13" s="19" t="s">
        <v>19</v>
      </c>
    </row>
    <row r="14" spans="1:17">
      <c r="A14" s="14">
        <v>45352</v>
      </c>
      <c r="B14" s="15" t="s">
        <v>21</v>
      </c>
      <c r="C14" s="9">
        <v>0</v>
      </c>
      <c r="D14" s="23"/>
      <c r="E14" s="10"/>
      <c r="F14" s="10"/>
      <c r="G14" s="10"/>
      <c r="H14" s="19" t="s">
        <v>19</v>
      </c>
    </row>
    <row r="15" spans="1:17">
      <c r="A15" s="14">
        <v>45362</v>
      </c>
      <c r="B15" s="15" t="s">
        <v>21</v>
      </c>
      <c r="C15" s="9">
        <v>0</v>
      </c>
      <c r="D15" s="23"/>
      <c r="E15" s="10"/>
      <c r="F15" s="10"/>
      <c r="G15" s="10"/>
      <c r="H15" s="19" t="s">
        <v>19</v>
      </c>
    </row>
    <row r="16" spans="1:17">
      <c r="A16" s="14">
        <v>45373</v>
      </c>
      <c r="B16" s="15" t="s">
        <v>21</v>
      </c>
      <c r="C16" s="9">
        <v>0</v>
      </c>
      <c r="D16" s="23"/>
      <c r="E16" s="10"/>
      <c r="F16" s="10"/>
      <c r="G16" s="10"/>
      <c r="H16" s="19" t="s">
        <v>19</v>
      </c>
    </row>
    <row r="17" spans="1:8">
      <c r="A17" s="14">
        <v>45390</v>
      </c>
      <c r="B17" s="15" t="s">
        <v>22</v>
      </c>
      <c r="C17" s="9">
        <v>0</v>
      </c>
      <c r="D17" s="23"/>
      <c r="E17" s="10"/>
      <c r="F17" s="10"/>
      <c r="G17" s="10"/>
      <c r="H17" s="19" t="s">
        <v>19</v>
      </c>
    </row>
    <row r="18" spans="1:8">
      <c r="A18" s="14">
        <v>45404</v>
      </c>
      <c r="B18" s="15" t="s">
        <v>22</v>
      </c>
      <c r="C18" s="9">
        <v>0</v>
      </c>
      <c r="D18" s="23"/>
      <c r="E18" s="10"/>
      <c r="F18" s="10"/>
      <c r="G18" s="10"/>
      <c r="H18" s="19" t="s">
        <v>19</v>
      </c>
    </row>
    <row r="19" spans="1:8">
      <c r="A19" s="14">
        <v>45415</v>
      </c>
      <c r="B19" s="15" t="s">
        <v>23</v>
      </c>
      <c r="C19" s="9">
        <v>0</v>
      </c>
      <c r="D19" s="23"/>
      <c r="E19" s="10"/>
      <c r="F19" s="10"/>
      <c r="G19" s="10"/>
      <c r="H19" s="19" t="s">
        <v>19</v>
      </c>
    </row>
    <row r="20" spans="1:8">
      <c r="A20" s="14">
        <v>45432</v>
      </c>
      <c r="B20" s="15" t="s">
        <v>23</v>
      </c>
      <c r="C20" s="9">
        <v>0</v>
      </c>
      <c r="D20" s="23"/>
      <c r="E20" s="10"/>
      <c r="F20" s="10"/>
      <c r="G20" s="10"/>
      <c r="H20" s="19" t="s">
        <v>19</v>
      </c>
    </row>
    <row r="21" spans="1:8">
      <c r="A21" s="14">
        <v>45460</v>
      </c>
      <c r="B21" s="15" t="s">
        <v>24</v>
      </c>
      <c r="C21" s="9">
        <v>0</v>
      </c>
      <c r="D21" s="23"/>
      <c r="E21" s="10"/>
      <c r="F21" s="10"/>
      <c r="G21" s="10"/>
      <c r="H21" s="19" t="s">
        <v>19</v>
      </c>
    </row>
    <row r="22" spans="1:8">
      <c r="A22" s="14">
        <v>45474</v>
      </c>
      <c r="B22" s="15" t="s">
        <v>25</v>
      </c>
      <c r="C22" s="9">
        <v>0</v>
      </c>
      <c r="D22" s="23"/>
      <c r="E22" s="10"/>
      <c r="F22" s="10"/>
      <c r="G22" s="10"/>
      <c r="H22" s="19" t="s">
        <v>19</v>
      </c>
    </row>
    <row r="23" spans="1:8">
      <c r="A23" s="14">
        <v>45499</v>
      </c>
      <c r="B23" s="15" t="s">
        <v>25</v>
      </c>
      <c r="C23" s="9">
        <v>0</v>
      </c>
      <c r="D23" s="23"/>
      <c r="E23" s="10"/>
      <c r="F23" s="10"/>
      <c r="G23" s="10"/>
      <c r="H23" s="19" t="s">
        <v>19</v>
      </c>
    </row>
    <row r="24" spans="1:8">
      <c r="A24" s="14">
        <v>45531</v>
      </c>
      <c r="B24" s="15" t="s">
        <v>26</v>
      </c>
      <c r="C24" s="9">
        <v>0</v>
      </c>
      <c r="D24" s="23"/>
      <c r="E24" s="10"/>
      <c r="F24" s="10"/>
      <c r="G24" s="10"/>
      <c r="H24" s="19" t="s">
        <v>19</v>
      </c>
    </row>
    <row r="25" spans="1:8">
      <c r="A25" s="14">
        <v>45558</v>
      </c>
      <c r="B25" s="15" t="s">
        <v>27</v>
      </c>
      <c r="C25" s="9">
        <v>0</v>
      </c>
      <c r="D25" s="23"/>
      <c r="E25" s="10"/>
      <c r="F25" s="10"/>
      <c r="G25" s="10"/>
      <c r="H25" s="19" t="s">
        <v>19</v>
      </c>
    </row>
    <row r="26" spans="1:8">
      <c r="A26" s="14">
        <v>45565</v>
      </c>
      <c r="B26" s="15" t="s">
        <v>27</v>
      </c>
      <c r="C26" s="9">
        <v>0</v>
      </c>
      <c r="D26" s="23"/>
      <c r="E26" s="10"/>
      <c r="F26" s="10"/>
      <c r="G26" s="10"/>
      <c r="H26" s="19" t="s">
        <v>19</v>
      </c>
    </row>
    <row r="27" spans="1:8" ht="28">
      <c r="A27" s="14"/>
      <c r="B27" s="15" t="s">
        <v>28</v>
      </c>
      <c r="C27" s="9">
        <v>0</v>
      </c>
      <c r="D27" s="10"/>
      <c r="E27" s="10"/>
      <c r="F27" s="10"/>
      <c r="G27" s="10"/>
      <c r="H27" s="19" t="s">
        <v>33</v>
      </c>
    </row>
    <row r="28" spans="1:8" ht="28">
      <c r="A28" s="14"/>
      <c r="B28" s="15" t="s">
        <v>29</v>
      </c>
      <c r="C28" s="9">
        <v>0</v>
      </c>
      <c r="D28" s="10"/>
      <c r="E28" s="10"/>
      <c r="F28" s="10"/>
      <c r="G28" s="10"/>
      <c r="H28" s="19" t="s">
        <v>33</v>
      </c>
    </row>
    <row r="29" spans="1:8">
      <c r="A29" s="16">
        <v>45630</v>
      </c>
      <c r="B29" s="17" t="s">
        <v>30</v>
      </c>
      <c r="C29" s="9">
        <v>0</v>
      </c>
      <c r="D29" s="11"/>
      <c r="E29" s="11"/>
      <c r="F29" s="11"/>
      <c r="G29" s="11"/>
      <c r="H29" s="20" t="s">
        <v>19</v>
      </c>
    </row>
    <row r="30" spans="1:8">
      <c r="A30" s="8"/>
    </row>
    <row r="33" spans="1:9">
      <c r="A33" s="33" t="s">
        <v>6</v>
      </c>
      <c r="B33" s="33"/>
      <c r="C33" s="33"/>
      <c r="D33" s="33"/>
      <c r="E33" s="33"/>
      <c r="F33" s="33"/>
      <c r="G33" s="33"/>
      <c r="H33" s="33"/>
      <c r="I33" s="33"/>
    </row>
    <row r="34" spans="1:9" ht="28">
      <c r="A34" s="21" t="s">
        <v>8</v>
      </c>
      <c r="B34" s="21" t="s">
        <v>38</v>
      </c>
      <c r="C34" s="21" t="s">
        <v>14</v>
      </c>
      <c r="D34" s="21" t="s">
        <v>37</v>
      </c>
      <c r="E34" s="21" t="s">
        <v>36</v>
      </c>
      <c r="F34" s="21" t="s">
        <v>40</v>
      </c>
      <c r="G34" s="21" t="s">
        <v>42</v>
      </c>
      <c r="H34" s="21" t="s">
        <v>39</v>
      </c>
      <c r="I34" s="21" t="s">
        <v>17</v>
      </c>
    </row>
    <row r="35" spans="1:9">
      <c r="A35" s="24" t="s">
        <v>22</v>
      </c>
      <c r="B35" s="25">
        <v>0</v>
      </c>
      <c r="C35" s="44">
        <v>0</v>
      </c>
      <c r="D35" s="45">
        <v>0</v>
      </c>
      <c r="E35" s="45"/>
      <c r="F35" s="45"/>
      <c r="G35" s="45"/>
      <c r="H35" s="45">
        <v>0</v>
      </c>
      <c r="I35" s="45">
        <f>B35+D35+H35+E35+F35+G35</f>
        <v>0</v>
      </c>
    </row>
    <row r="36" spans="1:9">
      <c r="A36" s="24" t="s">
        <v>23</v>
      </c>
      <c r="B36" s="25">
        <v>0</v>
      </c>
      <c r="C36" s="44">
        <v>1923.98</v>
      </c>
      <c r="D36" s="45">
        <v>154.72999999999999</v>
      </c>
      <c r="E36" s="45"/>
      <c r="F36" s="45">
        <v>250.34</v>
      </c>
      <c r="G36" s="45"/>
      <c r="H36" s="45">
        <v>123.93</v>
      </c>
      <c r="I36" s="45">
        <f t="shared" ref="I36:I43" si="0">B36+D36+H36+E36+F36+G36</f>
        <v>529</v>
      </c>
    </row>
    <row r="37" spans="1:9">
      <c r="A37" s="24" t="s">
        <v>24</v>
      </c>
      <c r="B37" s="25">
        <v>182.33</v>
      </c>
      <c r="C37" s="44">
        <v>5733</v>
      </c>
      <c r="D37" s="45">
        <v>477.07</v>
      </c>
      <c r="E37" s="45">
        <v>753</v>
      </c>
      <c r="F37" s="45">
        <v>404</v>
      </c>
      <c r="G37" s="45">
        <v>66.430000000000007</v>
      </c>
      <c r="H37" s="45">
        <v>99.82</v>
      </c>
      <c r="I37" s="45">
        <f t="shared" si="0"/>
        <v>1982.65</v>
      </c>
    </row>
    <row r="38" spans="1:9">
      <c r="A38" s="24" t="s">
        <v>25</v>
      </c>
      <c r="B38" s="25">
        <v>357.08</v>
      </c>
      <c r="C38" s="44">
        <v>5846.92</v>
      </c>
      <c r="D38" s="45">
        <v>267.64</v>
      </c>
      <c r="E38" s="45">
        <v>99</v>
      </c>
      <c r="F38" s="45">
        <v>73.790000000000006</v>
      </c>
      <c r="G38" s="45">
        <v>22.79</v>
      </c>
      <c r="H38" s="45">
        <v>168.72</v>
      </c>
      <c r="I38" s="45">
        <f t="shared" si="0"/>
        <v>989.02</v>
      </c>
    </row>
    <row r="39" spans="1:9">
      <c r="A39" s="24" t="s">
        <v>26</v>
      </c>
      <c r="B39" s="25">
        <v>419.03</v>
      </c>
      <c r="C39" s="44">
        <v>5846</v>
      </c>
      <c r="D39" s="45">
        <v>433.42</v>
      </c>
      <c r="E39" s="45">
        <v>4676.72</v>
      </c>
      <c r="F39" s="45">
        <v>570.75</v>
      </c>
      <c r="G39" s="45">
        <v>138.66999999999999</v>
      </c>
      <c r="H39" s="45">
        <v>101.15</v>
      </c>
      <c r="I39" s="45">
        <f t="shared" si="0"/>
        <v>6339.7400000000007</v>
      </c>
    </row>
    <row r="40" spans="1:9">
      <c r="A40" s="24" t="s">
        <v>27</v>
      </c>
      <c r="B40" s="25">
        <v>274.20999999999998</v>
      </c>
      <c r="C40" s="44">
        <v>5846</v>
      </c>
      <c r="D40" s="45">
        <v>273.38</v>
      </c>
      <c r="E40" s="45"/>
      <c r="F40" s="45">
        <v>98.72</v>
      </c>
      <c r="G40" s="45">
        <v>0</v>
      </c>
      <c r="H40" s="45">
        <v>65.23</v>
      </c>
      <c r="I40" s="45">
        <f t="shared" si="0"/>
        <v>711.54</v>
      </c>
    </row>
    <row r="41" spans="1:9">
      <c r="A41" s="24" t="s">
        <v>28</v>
      </c>
      <c r="B41" s="25">
        <v>340.74</v>
      </c>
      <c r="C41" s="44">
        <v>6089</v>
      </c>
      <c r="D41" s="45">
        <v>530.76</v>
      </c>
      <c r="E41" s="45"/>
      <c r="F41" s="45">
        <v>169.03</v>
      </c>
      <c r="G41" s="45">
        <v>85.32</v>
      </c>
      <c r="H41" s="45">
        <f>SUMIF($B$8:$B$30,A41,$F$8:$F$30)</f>
        <v>0</v>
      </c>
      <c r="I41" s="45">
        <f t="shared" si="0"/>
        <v>1125.8499999999999</v>
      </c>
    </row>
    <row r="42" spans="1:9">
      <c r="A42" s="24" t="s">
        <v>29</v>
      </c>
      <c r="B42" s="25">
        <v>216.07</v>
      </c>
      <c r="C42" s="44">
        <v>5516</v>
      </c>
      <c r="D42" s="45">
        <v>333.23</v>
      </c>
      <c r="E42" s="45"/>
      <c r="F42" s="45">
        <v>47.41</v>
      </c>
      <c r="G42" s="45">
        <v>27.26</v>
      </c>
      <c r="H42" s="45">
        <f>SUMIF($B$8:$B$30,A42,$F$8:$F$30)</f>
        <v>0</v>
      </c>
      <c r="I42" s="45">
        <f t="shared" si="0"/>
        <v>623.96999999999991</v>
      </c>
    </row>
    <row r="43" spans="1:9">
      <c r="A43" s="24" t="s">
        <v>30</v>
      </c>
      <c r="B43" s="25">
        <v>138.54</v>
      </c>
      <c r="C43" s="44">
        <v>5516</v>
      </c>
      <c r="D43" s="45">
        <v>70</v>
      </c>
      <c r="E43" s="45"/>
      <c r="F43" s="45">
        <v>207.24</v>
      </c>
      <c r="G43" s="45">
        <v>20.72</v>
      </c>
      <c r="H43" s="45">
        <f>SUMIF($B$8:$B$30,A43,$F$8:$F$30)</f>
        <v>0</v>
      </c>
      <c r="I43" s="45">
        <f t="shared" si="0"/>
        <v>436.5</v>
      </c>
    </row>
    <row r="44" spans="1:9" ht="14.5" thickBot="1">
      <c r="A44" s="26" t="s">
        <v>31</v>
      </c>
      <c r="B44" s="27">
        <f>SUM(B35:B43)</f>
        <v>1927.9999999999998</v>
      </c>
      <c r="C44" s="46">
        <f>SUM(C35:C43)</f>
        <v>42316.9</v>
      </c>
      <c r="D44" s="46">
        <f>SUM(D35:D43)</f>
        <v>2540.23</v>
      </c>
      <c r="E44" s="46">
        <f>SUM(F35:F43)</f>
        <v>1821.2800000000002</v>
      </c>
      <c r="F44" s="46">
        <f>SUM(F35:F43)</f>
        <v>1821.2800000000002</v>
      </c>
      <c r="G44" s="46">
        <f>SUM(G35:G43)</f>
        <v>361.18999999999994</v>
      </c>
      <c r="H44" s="46">
        <f>SUM(H35:H43)</f>
        <v>558.85</v>
      </c>
      <c r="I44" s="46">
        <f>SUM(I35:I43)</f>
        <v>12738.27</v>
      </c>
    </row>
    <row r="45" spans="1:9" ht="14.5" thickTop="1"/>
    <row r="46" spans="1:9" ht="14" customHeight="1">
      <c r="A46" s="34" t="s">
        <v>32</v>
      </c>
      <c r="B46" s="35"/>
      <c r="C46" s="35"/>
      <c r="D46" s="35"/>
      <c r="E46" s="35"/>
      <c r="F46" s="35"/>
      <c r="G46" s="35"/>
      <c r="H46" s="35"/>
      <c r="I46" s="36"/>
    </row>
    <row r="47" spans="1:9" ht="14" customHeight="1">
      <c r="A47" s="37"/>
      <c r="B47" s="38"/>
      <c r="C47" s="38"/>
      <c r="D47" s="38"/>
      <c r="E47" s="38"/>
      <c r="F47" s="38"/>
      <c r="G47" s="38"/>
      <c r="H47" s="38"/>
      <c r="I47" s="39"/>
    </row>
    <row r="48" spans="1:9" ht="14" customHeight="1">
      <c r="A48" s="40"/>
      <c r="B48" s="41"/>
      <c r="C48" s="41"/>
      <c r="D48" s="41"/>
      <c r="E48" s="41"/>
      <c r="F48" s="41"/>
      <c r="G48" s="41"/>
      <c r="H48" s="41"/>
      <c r="I48" s="42"/>
    </row>
  </sheetData>
  <mergeCells count="12">
    <mergeCell ref="A6:H6"/>
    <mergeCell ref="A33:I33"/>
    <mergeCell ref="A46:I48"/>
    <mergeCell ref="A1:Q1"/>
    <mergeCell ref="A3:B3"/>
    <mergeCell ref="D3:E3"/>
    <mergeCell ref="H3:I3"/>
    <mergeCell ref="K3:L3"/>
    <mergeCell ref="A4:B4"/>
    <mergeCell ref="D4:E4"/>
    <mergeCell ref="H4:I4"/>
    <mergeCell ref="K4:L4"/>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53"/>
  <sheetViews>
    <sheetView showGridLines="0" topLeftCell="A25" workbookViewId="0">
      <selection activeCell="C49" sqref="C49"/>
    </sheetView>
  </sheetViews>
  <sheetFormatPr defaultRowHeight="14"/>
  <cols>
    <col min="1" max="1" width="13" customWidth="1"/>
    <col min="2" max="2" width="10" customWidth="1"/>
    <col min="3" max="6" width="18" customWidth="1"/>
    <col min="7" max="11" width="16" customWidth="1"/>
  </cols>
  <sheetData>
    <row r="1" spans="1:11" ht="30" customHeight="1">
      <c r="A1" s="28" t="s">
        <v>0</v>
      </c>
      <c r="B1" s="28"/>
      <c r="C1" s="28"/>
      <c r="D1" s="28"/>
      <c r="E1" s="28"/>
      <c r="F1" s="28"/>
      <c r="G1" s="28"/>
      <c r="H1" s="28"/>
      <c r="I1" s="28"/>
      <c r="J1" s="28"/>
      <c r="K1" s="28"/>
    </row>
    <row r="3" spans="1:11">
      <c r="A3" s="29" t="s">
        <v>1</v>
      </c>
      <c r="B3" s="30"/>
      <c r="C3" s="2"/>
      <c r="D3" s="29" t="s">
        <v>2</v>
      </c>
      <c r="E3" s="30"/>
      <c r="F3" s="48"/>
      <c r="G3" s="1"/>
    </row>
    <row r="4" spans="1:11" ht="18">
      <c r="A4" s="43">
        <f>SUM(C8:C30)</f>
        <v>41975</v>
      </c>
      <c r="B4" s="31"/>
      <c r="C4" s="4"/>
      <c r="D4" s="43">
        <f>SUM(D8:D30)</f>
        <v>104804</v>
      </c>
      <c r="E4" s="31"/>
      <c r="F4" s="49"/>
      <c r="G4" s="3"/>
    </row>
    <row r="6" spans="1:11">
      <c r="A6" s="32" t="s">
        <v>5</v>
      </c>
      <c r="B6" s="32"/>
      <c r="C6" s="32"/>
      <c r="D6" s="32"/>
      <c r="E6" s="32"/>
      <c r="F6" s="32"/>
    </row>
    <row r="7" spans="1:11" ht="34" customHeight="1">
      <c r="A7" s="5" t="s">
        <v>7</v>
      </c>
      <c r="B7" s="6" t="s">
        <v>8</v>
      </c>
      <c r="C7" s="6" t="s">
        <v>9</v>
      </c>
      <c r="D7" s="6" t="s">
        <v>10</v>
      </c>
      <c r="E7" s="6" t="s">
        <v>11</v>
      </c>
      <c r="F7" s="6" t="s">
        <v>43</v>
      </c>
    </row>
    <row r="8" spans="1:11">
      <c r="A8" s="12">
        <v>45313</v>
      </c>
      <c r="B8" s="13" t="s">
        <v>18</v>
      </c>
      <c r="C8" s="51">
        <v>700</v>
      </c>
      <c r="D8" s="44">
        <v>5516</v>
      </c>
      <c r="E8" s="9">
        <v>719</v>
      </c>
      <c r="F8" s="9"/>
    </row>
    <row r="9" spans="1:11">
      <c r="A9" s="14">
        <v>45317</v>
      </c>
      <c r="B9" s="15" t="s">
        <v>18</v>
      </c>
      <c r="C9" s="52">
        <v>2000</v>
      </c>
      <c r="D9" s="44">
        <v>5516</v>
      </c>
      <c r="E9" s="10"/>
      <c r="F9" s="10"/>
    </row>
    <row r="10" spans="1:11">
      <c r="A10" s="14">
        <v>45323</v>
      </c>
      <c r="B10" s="15" t="s">
        <v>20</v>
      </c>
      <c r="C10" s="52">
        <v>700</v>
      </c>
      <c r="D10" s="44">
        <v>5516</v>
      </c>
      <c r="E10" s="10"/>
      <c r="F10" s="10"/>
    </row>
    <row r="11" spans="1:11">
      <c r="A11" s="14">
        <v>45331</v>
      </c>
      <c r="B11" s="15" t="s">
        <v>20</v>
      </c>
      <c r="C11" s="52">
        <v>400</v>
      </c>
      <c r="D11" s="44">
        <v>5516</v>
      </c>
      <c r="E11" s="10"/>
      <c r="F11" s="10"/>
    </row>
    <row r="12" spans="1:11">
      <c r="A12" s="14">
        <v>45335</v>
      </c>
      <c r="B12" s="15" t="s">
        <v>20</v>
      </c>
      <c r="C12" s="52">
        <v>1500</v>
      </c>
      <c r="D12" s="44">
        <v>5516</v>
      </c>
      <c r="E12" s="10"/>
      <c r="F12" s="10"/>
    </row>
    <row r="13" spans="1:11">
      <c r="A13" s="14">
        <v>45348</v>
      </c>
      <c r="B13" s="15" t="s">
        <v>20</v>
      </c>
      <c r="C13" s="52">
        <v>2700</v>
      </c>
      <c r="D13" s="44">
        <v>5516</v>
      </c>
      <c r="E13" s="10"/>
      <c r="F13" s="10"/>
    </row>
    <row r="14" spans="1:11">
      <c r="A14" s="14">
        <v>45352</v>
      </c>
      <c r="B14" s="15" t="s">
        <v>21</v>
      </c>
      <c r="C14" s="52">
        <v>735</v>
      </c>
      <c r="D14" s="44">
        <v>5516</v>
      </c>
      <c r="E14" s="10"/>
      <c r="F14" s="10"/>
    </row>
    <row r="15" spans="1:11">
      <c r="A15" s="14">
        <v>45362</v>
      </c>
      <c r="B15" s="15" t="s">
        <v>21</v>
      </c>
      <c r="C15" s="52">
        <v>1500</v>
      </c>
      <c r="D15" s="44">
        <v>5516</v>
      </c>
      <c r="E15" s="10"/>
      <c r="F15" s="10"/>
    </row>
    <row r="16" spans="1:11">
      <c r="A16" s="14">
        <v>45373</v>
      </c>
      <c r="B16" s="15" t="s">
        <v>21</v>
      </c>
      <c r="C16" s="52">
        <v>2700</v>
      </c>
      <c r="D16" s="44">
        <v>5516</v>
      </c>
      <c r="E16" s="10"/>
      <c r="F16" s="10"/>
    </row>
    <row r="17" spans="1:6">
      <c r="A17" s="14">
        <v>45390</v>
      </c>
      <c r="B17" s="15" t="s">
        <v>22</v>
      </c>
      <c r="C17" s="52">
        <v>1500</v>
      </c>
      <c r="D17" s="44">
        <v>5516</v>
      </c>
      <c r="E17" s="10"/>
      <c r="F17" s="10"/>
    </row>
    <row r="18" spans="1:6">
      <c r="A18" s="14">
        <v>45404</v>
      </c>
      <c r="B18" s="15" t="s">
        <v>22</v>
      </c>
      <c r="C18" s="52">
        <v>2700</v>
      </c>
      <c r="D18" s="44">
        <v>5516</v>
      </c>
      <c r="E18" s="10"/>
      <c r="F18" s="10"/>
    </row>
    <row r="19" spans="1:6">
      <c r="A19" s="14">
        <v>45415</v>
      </c>
      <c r="B19" s="15" t="s">
        <v>23</v>
      </c>
      <c r="C19" s="52">
        <v>1000</v>
      </c>
      <c r="D19" s="44">
        <v>5516</v>
      </c>
      <c r="E19" s="10"/>
      <c r="F19" s="10"/>
    </row>
    <row r="20" spans="1:6">
      <c r="A20" s="14">
        <v>45432</v>
      </c>
      <c r="B20" s="15" t="s">
        <v>23</v>
      </c>
      <c r="C20" s="52">
        <v>2700</v>
      </c>
      <c r="D20" s="44">
        <v>5516</v>
      </c>
      <c r="E20" s="10"/>
      <c r="F20" s="10"/>
    </row>
    <row r="21" spans="1:6">
      <c r="A21" s="14">
        <v>45460</v>
      </c>
      <c r="B21" s="15" t="s">
        <v>24</v>
      </c>
      <c r="C21" s="52">
        <v>2700</v>
      </c>
      <c r="D21" s="44">
        <v>5516</v>
      </c>
      <c r="E21" s="10"/>
      <c r="F21" s="10"/>
    </row>
    <row r="22" spans="1:6">
      <c r="A22" s="14">
        <v>45474</v>
      </c>
      <c r="B22" s="15" t="s">
        <v>25</v>
      </c>
      <c r="C22" s="52">
        <v>2440</v>
      </c>
      <c r="D22" s="44">
        <v>5516</v>
      </c>
      <c r="E22" s="10"/>
      <c r="F22" s="10"/>
    </row>
    <row r="23" spans="1:6">
      <c r="A23" s="14">
        <v>45499</v>
      </c>
      <c r="B23" s="15" t="s">
        <v>25</v>
      </c>
      <c r="C23" s="52">
        <v>2000</v>
      </c>
      <c r="D23" s="44">
        <v>5516</v>
      </c>
      <c r="E23" s="10"/>
      <c r="F23" s="10"/>
    </row>
    <row r="24" spans="1:6">
      <c r="A24" s="14">
        <v>45531</v>
      </c>
      <c r="B24" s="15" t="s">
        <v>26</v>
      </c>
      <c r="C24" s="52">
        <v>2000</v>
      </c>
      <c r="D24" s="44">
        <v>5516</v>
      </c>
      <c r="E24" s="10"/>
      <c r="F24" s="10"/>
    </row>
    <row r="25" spans="1:6">
      <c r="A25" s="14">
        <v>45558</v>
      </c>
      <c r="B25" s="15" t="s">
        <v>27</v>
      </c>
      <c r="C25" s="52">
        <v>2000</v>
      </c>
      <c r="D25" s="44">
        <v>5516</v>
      </c>
      <c r="E25" s="10"/>
      <c r="F25" s="10"/>
    </row>
    <row r="26" spans="1:6">
      <c r="A26" s="14">
        <v>45565</v>
      </c>
      <c r="B26" s="15" t="s">
        <v>27</v>
      </c>
      <c r="C26" s="52">
        <v>5000</v>
      </c>
      <c r="D26" s="44">
        <v>5516</v>
      </c>
      <c r="E26" s="10"/>
      <c r="F26" s="10"/>
    </row>
    <row r="27" spans="1:6">
      <c r="A27" s="14"/>
      <c r="B27" s="15" t="s">
        <v>28</v>
      </c>
      <c r="C27" s="10">
        <v>0</v>
      </c>
      <c r="D27" s="10"/>
      <c r="E27" s="10"/>
      <c r="F27" s="10"/>
    </row>
    <row r="28" spans="1:6">
      <c r="A28" s="14"/>
      <c r="B28" s="15" t="s">
        <v>29</v>
      </c>
      <c r="C28" s="10">
        <v>0</v>
      </c>
      <c r="D28" s="10"/>
      <c r="E28" s="10"/>
      <c r="F28" s="10"/>
    </row>
    <row r="29" spans="1:6">
      <c r="A29" s="16">
        <v>45630</v>
      </c>
      <c r="B29" s="17" t="s">
        <v>30</v>
      </c>
      <c r="C29" s="11">
        <v>5000</v>
      </c>
      <c r="D29" s="11"/>
      <c r="E29" s="11"/>
      <c r="F29" s="11"/>
    </row>
    <row r="30" spans="1:6">
      <c r="A30" s="8"/>
    </row>
    <row r="35" spans="1:69">
      <c r="B35" s="33" t="s">
        <v>6</v>
      </c>
      <c r="C35" s="33"/>
      <c r="D35" s="33"/>
      <c r="E35" s="33"/>
      <c r="F35" s="33"/>
    </row>
    <row r="36" spans="1:69" ht="28">
      <c r="B36" s="21" t="s">
        <v>8</v>
      </c>
      <c r="C36" s="21" t="s">
        <v>44</v>
      </c>
      <c r="D36" s="21" t="s">
        <v>14</v>
      </c>
      <c r="E36" s="50" t="s">
        <v>15</v>
      </c>
      <c r="F36" s="21" t="s">
        <v>45</v>
      </c>
    </row>
    <row r="37" spans="1:69">
      <c r="A37" t="s">
        <v>46</v>
      </c>
      <c r="B37" s="22" t="s">
        <v>18</v>
      </c>
      <c r="C37" s="44">
        <f>SUMIF($B$8:$B$30,B37,$C$8:$C$30)</f>
        <v>2700</v>
      </c>
      <c r="D37" s="44">
        <v>5516</v>
      </c>
      <c r="E37" s="44">
        <v>0</v>
      </c>
      <c r="F37" s="44">
        <v>3500</v>
      </c>
    </row>
    <row r="38" spans="1:69">
      <c r="B38" s="24" t="s">
        <v>20</v>
      </c>
      <c r="C38" s="45">
        <f>SUMIF($B$8:$B$30,B38,$C$8:$C$30)</f>
        <v>5300</v>
      </c>
      <c r="D38" s="44">
        <v>5516</v>
      </c>
      <c r="E38" s="45">
        <v>719</v>
      </c>
      <c r="F38" s="45">
        <v>0</v>
      </c>
    </row>
    <row r="39" spans="1:69">
      <c r="B39" s="24" t="s">
        <v>21</v>
      </c>
      <c r="C39" s="45">
        <f>SUMIF($B$8:$B$30,B39,$C$8:$C$30)</f>
        <v>4935</v>
      </c>
      <c r="D39" s="44">
        <v>5516</v>
      </c>
      <c r="E39" s="45">
        <v>0</v>
      </c>
      <c r="F39" s="45">
        <v>500</v>
      </c>
    </row>
    <row r="40" spans="1:69">
      <c r="B40" s="24" t="s">
        <v>22</v>
      </c>
      <c r="C40" s="45">
        <f>SUMIF($B$8:$B$30,B40,$C$8:$C$30)</f>
        <v>4200</v>
      </c>
      <c r="D40" s="44">
        <v>5516</v>
      </c>
      <c r="E40" s="45">
        <v>40</v>
      </c>
      <c r="F40" s="45">
        <v>250</v>
      </c>
    </row>
    <row r="41" spans="1:69">
      <c r="B41" s="24" t="s">
        <v>23</v>
      </c>
      <c r="C41" s="45">
        <f>SUMIF($B$8:$B$30,B41,$C$8:$C$30)</f>
        <v>3700</v>
      </c>
      <c r="D41" s="44">
        <v>5516</v>
      </c>
      <c r="E41" s="45">
        <v>4132</v>
      </c>
      <c r="F41" s="45">
        <v>150</v>
      </c>
      <c r="G41" s="55" t="s">
        <v>51</v>
      </c>
      <c r="H41" s="55"/>
      <c r="I41" s="55"/>
      <c r="J41" s="55"/>
      <c r="K41" s="55"/>
    </row>
    <row r="42" spans="1:69">
      <c r="B42" s="24" t="s">
        <v>24</v>
      </c>
      <c r="C42" s="45">
        <f>SUMIF($B$8:$B$30,B42,$C$8:$C$30)</f>
        <v>2700</v>
      </c>
      <c r="D42" s="44">
        <v>5516</v>
      </c>
      <c r="E42" s="45">
        <v>2492</v>
      </c>
      <c r="F42" s="45">
        <v>300</v>
      </c>
      <c r="G42" s="55"/>
      <c r="H42" s="55"/>
      <c r="I42" s="55"/>
      <c r="J42" s="55"/>
      <c r="K42" s="55"/>
    </row>
    <row r="43" spans="1:69">
      <c r="B43" s="24" t="s">
        <v>25</v>
      </c>
      <c r="C43" s="45">
        <f>SUMIF($B$8:$B$30,B43,$C$8:$C$30)</f>
        <v>4440</v>
      </c>
      <c r="D43" s="44">
        <v>5516</v>
      </c>
      <c r="E43" s="45">
        <v>529.17999999999995</v>
      </c>
      <c r="F43" s="45">
        <v>324</v>
      </c>
      <c r="G43" s="55" t="s">
        <v>47</v>
      </c>
      <c r="H43" s="55"/>
      <c r="I43" s="55"/>
      <c r="J43" s="55"/>
      <c r="K43" s="55"/>
      <c r="L43" s="55"/>
      <c r="M43" s="55"/>
      <c r="N43" s="55"/>
      <c r="O43" s="55"/>
      <c r="P43" s="55"/>
      <c r="Q43" s="55"/>
    </row>
    <row r="44" spans="1:69">
      <c r="B44" s="24" t="s">
        <v>26</v>
      </c>
      <c r="C44" s="45">
        <f>SUMIF($B$8:$B$30,B44,$C$8:$C$30)</f>
        <v>2000</v>
      </c>
      <c r="D44" s="44">
        <v>5516</v>
      </c>
      <c r="E44" s="45">
        <v>1065.8800000000001</v>
      </c>
      <c r="F44" s="53">
        <v>700</v>
      </c>
      <c r="G44" s="55"/>
      <c r="H44" s="55"/>
      <c r="I44" s="55"/>
      <c r="J44" s="55"/>
      <c r="K44" s="55"/>
      <c r="L44" s="55"/>
      <c r="M44" s="55"/>
      <c r="N44" s="55"/>
      <c r="O44" s="55"/>
      <c r="P44" s="55"/>
      <c r="Q44" s="55"/>
    </row>
    <row r="45" spans="1:69">
      <c r="B45" s="24" t="s">
        <v>27</v>
      </c>
      <c r="C45" s="45">
        <f>SUMIF($B$8:$B$30,B45,$C$8:$C$30)</f>
        <v>7000</v>
      </c>
      <c r="D45" s="44">
        <v>5516</v>
      </c>
      <c r="E45" s="45">
        <v>1194.22</v>
      </c>
      <c r="F45" s="45">
        <v>1500</v>
      </c>
      <c r="G45" s="55" t="s">
        <v>50</v>
      </c>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row>
    <row r="46" spans="1:69">
      <c r="A46" t="s">
        <v>46</v>
      </c>
      <c r="B46" s="24" t="s">
        <v>28</v>
      </c>
      <c r="C46" s="45">
        <v>0</v>
      </c>
      <c r="D46" s="44">
        <v>5516</v>
      </c>
      <c r="E46" s="45">
        <v>743</v>
      </c>
      <c r="F46" s="54">
        <v>1600</v>
      </c>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c r="AO46" s="55"/>
      <c r="AP46" s="55"/>
      <c r="AQ46" s="55"/>
      <c r="AR46" s="55"/>
      <c r="AS46" s="55"/>
      <c r="AT46" s="55"/>
      <c r="AU46" s="55"/>
      <c r="AV46" s="55"/>
      <c r="AW46" s="55"/>
      <c r="AX46" s="55"/>
      <c r="AY46" s="55"/>
      <c r="AZ46" s="55"/>
      <c r="BA46" s="55"/>
      <c r="BB46" s="55"/>
      <c r="BC46" s="55"/>
      <c r="BD46" s="55"/>
      <c r="BE46" s="55"/>
      <c r="BF46" s="55"/>
      <c r="BG46" s="55"/>
      <c r="BH46" s="55"/>
      <c r="BI46" s="55"/>
      <c r="BJ46" s="55"/>
      <c r="BK46" s="55"/>
      <c r="BL46" s="55"/>
      <c r="BM46" s="55"/>
      <c r="BN46" s="55"/>
      <c r="BO46" s="55"/>
      <c r="BP46" s="55"/>
      <c r="BQ46" s="55"/>
    </row>
    <row r="47" spans="1:69">
      <c r="A47" t="s">
        <v>46</v>
      </c>
      <c r="B47" s="24" t="s">
        <v>29</v>
      </c>
      <c r="C47" s="45">
        <f>SUMIF($B$8:$B$30,B47,$C$8:$C$30)</f>
        <v>0</v>
      </c>
      <c r="D47" s="44">
        <v>5516</v>
      </c>
      <c r="E47" s="45">
        <v>409.15</v>
      </c>
      <c r="F47" s="54">
        <v>1200</v>
      </c>
      <c r="G47" s="56" t="s">
        <v>49</v>
      </c>
    </row>
    <row r="48" spans="1:69">
      <c r="A48" t="s">
        <v>48</v>
      </c>
      <c r="B48" s="24" t="s">
        <v>30</v>
      </c>
      <c r="C48" s="45">
        <f>SUMIF($B$8:$B$30,B48,$C$8:$C$30)</f>
        <v>5000</v>
      </c>
      <c r="D48" s="44">
        <v>5516</v>
      </c>
      <c r="E48" s="45">
        <v>647.75</v>
      </c>
      <c r="F48" s="45">
        <v>350</v>
      </c>
    </row>
    <row r="49" spans="2:6" ht="14.5" thickBot="1">
      <c r="B49" s="26" t="s">
        <v>31</v>
      </c>
      <c r="C49" s="46">
        <f>SUM(C37:C48)</f>
        <v>41975</v>
      </c>
      <c r="D49" s="46">
        <f>SUM(D37:D48)</f>
        <v>66192</v>
      </c>
      <c r="E49" s="46">
        <f>SUM(E37:E48)</f>
        <v>11972.18</v>
      </c>
      <c r="F49" s="46">
        <f>SUM(F37:F48)</f>
        <v>10374</v>
      </c>
    </row>
    <row r="50" spans="2:6" ht="14.5" thickTop="1"/>
    <row r="51" spans="2:6">
      <c r="B51" s="34" t="s">
        <v>32</v>
      </c>
      <c r="C51" s="35"/>
      <c r="D51" s="35"/>
      <c r="E51" s="35"/>
      <c r="F51" s="35"/>
    </row>
    <row r="52" spans="2:6">
      <c r="B52" s="37"/>
      <c r="C52" s="38"/>
      <c r="D52" s="38"/>
      <c r="E52" s="38"/>
      <c r="F52" s="38"/>
    </row>
    <row r="53" spans="2:6">
      <c r="B53" s="40"/>
      <c r="C53" s="41"/>
      <c r="D53" s="41"/>
      <c r="E53" s="41"/>
      <c r="F53" s="41"/>
    </row>
  </sheetData>
  <mergeCells count="8">
    <mergeCell ref="B51:F53"/>
    <mergeCell ref="A4:B4"/>
    <mergeCell ref="D4:E4"/>
    <mergeCell ref="A6:F6"/>
    <mergeCell ref="B35:F35"/>
    <mergeCell ref="A1:K1"/>
    <mergeCell ref="A3:B3"/>
    <mergeCell ref="D3:E3"/>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18363-5786-43A4-912F-30941459AC21}">
  <dimension ref="A1:O50"/>
  <sheetViews>
    <sheetView tabSelected="1" topLeftCell="A21" workbookViewId="0">
      <selection activeCell="A37" sqref="A37"/>
    </sheetView>
  </sheetViews>
  <sheetFormatPr defaultRowHeight="14"/>
  <cols>
    <col min="1" max="1" width="56.4140625" customWidth="1"/>
    <col min="2" max="3" width="10" customWidth="1"/>
    <col min="4" max="7" width="18" customWidth="1"/>
    <col min="8" max="8" width="34" customWidth="1"/>
    <col min="9" max="9" width="3" customWidth="1"/>
    <col min="10" max="10" width="13" customWidth="1"/>
    <col min="11" max="15" width="16" customWidth="1"/>
  </cols>
  <sheetData>
    <row r="1" spans="1:15" ht="30" customHeight="1">
      <c r="A1" s="28" t="s">
        <v>35</v>
      </c>
      <c r="B1" s="28"/>
      <c r="C1" s="28"/>
      <c r="D1" s="28"/>
      <c r="E1" s="28"/>
      <c r="F1" s="28"/>
      <c r="G1" s="28"/>
      <c r="H1" s="28"/>
      <c r="I1" s="28"/>
      <c r="J1" s="28"/>
      <c r="K1" s="28"/>
      <c r="L1" s="28"/>
      <c r="M1" s="28"/>
      <c r="N1" s="28"/>
      <c r="O1" s="28"/>
    </row>
    <row r="3" spans="1:15">
      <c r="A3" s="29"/>
      <c r="B3" s="30"/>
      <c r="C3" s="48"/>
      <c r="D3" s="2"/>
      <c r="E3" s="29"/>
      <c r="F3" s="30"/>
      <c r="G3" s="2"/>
      <c r="H3" s="29"/>
      <c r="I3" s="30"/>
      <c r="J3" s="2"/>
      <c r="K3" s="29"/>
      <c r="L3" s="30"/>
    </row>
    <row r="4" spans="1:15" ht="18">
      <c r="A4" s="43"/>
      <c r="B4" s="63"/>
      <c r="C4" s="49"/>
      <c r="D4" s="4"/>
      <c r="E4" s="43"/>
      <c r="F4" s="63"/>
      <c r="G4" s="4"/>
      <c r="H4" s="43"/>
      <c r="I4" s="63"/>
      <c r="J4" s="4"/>
      <c r="K4" s="43"/>
      <c r="L4" s="63"/>
    </row>
    <row r="6" spans="1:15">
      <c r="A6" s="62"/>
      <c r="B6" s="62"/>
      <c r="C6" s="62"/>
      <c r="D6" s="62"/>
      <c r="E6" s="62"/>
      <c r="F6" s="62"/>
      <c r="G6" s="62"/>
      <c r="H6" s="62"/>
    </row>
    <row r="7" spans="1:15" ht="34" customHeight="1">
      <c r="A7" s="5"/>
      <c r="B7" s="6"/>
      <c r="C7" s="6"/>
      <c r="D7" s="6"/>
      <c r="E7" s="6"/>
      <c r="F7" s="6"/>
      <c r="G7" s="6"/>
      <c r="H7" s="7"/>
    </row>
    <row r="8" spans="1:15">
      <c r="A8" s="12"/>
      <c r="B8" s="13"/>
      <c r="C8" s="13"/>
      <c r="D8" s="9"/>
      <c r="E8" s="9"/>
      <c r="F8" s="9"/>
      <c r="G8" s="9"/>
      <c r="H8" s="18"/>
    </row>
    <row r="9" spans="1:15">
      <c r="A9" s="14"/>
      <c r="B9" s="15"/>
      <c r="C9" s="15"/>
      <c r="D9" s="10"/>
      <c r="E9" s="10"/>
      <c r="F9" s="10"/>
      <c r="G9" s="10"/>
      <c r="H9" s="19"/>
    </row>
    <row r="10" spans="1:15">
      <c r="A10" s="14"/>
      <c r="B10" s="15"/>
      <c r="C10" s="15"/>
      <c r="D10" s="10"/>
      <c r="E10" s="10"/>
      <c r="F10" s="10"/>
      <c r="G10" s="10"/>
      <c r="H10" s="19"/>
    </row>
    <row r="11" spans="1:15">
      <c r="A11" s="14"/>
      <c r="B11" s="15"/>
      <c r="C11" s="15"/>
      <c r="D11" s="10"/>
      <c r="E11" s="10"/>
      <c r="F11" s="10"/>
      <c r="G11" s="10"/>
      <c r="H11" s="19"/>
    </row>
    <row r="12" spans="1:15">
      <c r="A12" s="14"/>
      <c r="B12" s="15"/>
      <c r="C12" s="15"/>
      <c r="D12" s="10"/>
      <c r="E12" s="10"/>
      <c r="F12" s="10"/>
      <c r="G12" s="10"/>
      <c r="H12" s="19"/>
    </row>
    <row r="13" spans="1:15">
      <c r="A13" s="14"/>
      <c r="B13" s="15"/>
      <c r="C13" s="15"/>
      <c r="D13" s="10"/>
      <c r="E13" s="10"/>
      <c r="F13" s="10"/>
      <c r="G13" s="10"/>
      <c r="H13" s="19"/>
    </row>
    <row r="14" spans="1:15">
      <c r="A14" s="14"/>
      <c r="B14" s="15"/>
      <c r="C14" s="15"/>
      <c r="D14" s="10"/>
      <c r="E14" s="10"/>
      <c r="F14" s="10"/>
      <c r="G14" s="10"/>
      <c r="H14" s="19"/>
    </row>
    <row r="15" spans="1:15">
      <c r="A15" s="14"/>
      <c r="B15" s="15"/>
      <c r="C15" s="15"/>
      <c r="D15" s="10"/>
      <c r="E15" s="10"/>
      <c r="F15" s="10"/>
      <c r="G15" s="10"/>
      <c r="H15" s="19"/>
    </row>
    <row r="16" spans="1:15">
      <c r="A16" s="14"/>
      <c r="B16" s="15"/>
      <c r="C16" s="15"/>
      <c r="D16" s="10"/>
      <c r="E16" s="10"/>
      <c r="F16" s="10"/>
      <c r="G16" s="10"/>
      <c r="H16" s="19"/>
    </row>
    <row r="17" spans="1:8">
      <c r="A17" s="14"/>
      <c r="B17" s="15"/>
      <c r="C17" s="15"/>
      <c r="D17" s="10"/>
      <c r="E17" s="10"/>
      <c r="F17" s="10"/>
      <c r="G17" s="10"/>
      <c r="H17" s="19"/>
    </row>
    <row r="18" spans="1:8">
      <c r="A18" s="14"/>
      <c r="B18" s="15"/>
      <c r="C18" s="15"/>
      <c r="D18" s="10"/>
      <c r="E18" s="10"/>
      <c r="F18" s="10"/>
      <c r="G18" s="10"/>
      <c r="H18" s="19"/>
    </row>
    <row r="19" spans="1:8">
      <c r="A19" s="14"/>
      <c r="B19" s="15"/>
      <c r="C19" s="15"/>
      <c r="D19" s="10"/>
      <c r="E19" s="10"/>
      <c r="F19" s="10"/>
      <c r="G19" s="10"/>
      <c r="H19" s="19"/>
    </row>
    <row r="20" spans="1:8">
      <c r="A20" s="14"/>
      <c r="B20" s="15"/>
      <c r="C20" s="15"/>
      <c r="D20" s="10"/>
      <c r="E20" s="10"/>
      <c r="F20" s="10"/>
      <c r="G20" s="10"/>
      <c r="H20" s="19"/>
    </row>
    <row r="21" spans="1:8">
      <c r="A21" s="14"/>
      <c r="B21" s="15"/>
      <c r="C21" s="15"/>
      <c r="D21" s="10"/>
      <c r="E21" s="10"/>
      <c r="F21" s="10"/>
      <c r="G21" s="10"/>
      <c r="H21" s="19"/>
    </row>
    <row r="22" spans="1:8">
      <c r="A22" s="14"/>
      <c r="B22" s="15"/>
      <c r="C22" s="15"/>
      <c r="D22" s="10"/>
      <c r="E22" s="10"/>
      <c r="F22" s="10"/>
      <c r="G22" s="10"/>
      <c r="H22" s="19"/>
    </row>
    <row r="23" spans="1:8">
      <c r="A23" s="14"/>
      <c r="B23" s="15"/>
      <c r="C23" s="15"/>
      <c r="D23" s="10"/>
      <c r="E23" s="10"/>
      <c r="F23" s="10"/>
      <c r="G23" s="10"/>
      <c r="H23" s="19"/>
    </row>
    <row r="24" spans="1:8">
      <c r="A24" s="14"/>
      <c r="B24" s="15"/>
      <c r="C24" s="15"/>
      <c r="D24" s="10"/>
      <c r="E24" s="10"/>
      <c r="F24" s="10"/>
      <c r="G24" s="10"/>
      <c r="H24" s="19"/>
    </row>
    <row r="25" spans="1:8">
      <c r="A25" s="14"/>
      <c r="B25" s="15"/>
      <c r="C25" s="15"/>
      <c r="D25" s="10"/>
      <c r="E25" s="10"/>
      <c r="F25" s="10"/>
      <c r="G25" s="10"/>
      <c r="H25" s="19"/>
    </row>
    <row r="26" spans="1:8" s="64" customFormat="1">
      <c r="A26" s="68" t="s">
        <v>56</v>
      </c>
      <c r="B26" s="65"/>
      <c r="C26" s="65"/>
      <c r="D26" s="66"/>
      <c r="E26" s="66"/>
      <c r="F26" s="66"/>
      <c r="G26" s="66"/>
      <c r="H26" s="67"/>
    </row>
    <row r="27" spans="1:8" s="64" customFormat="1">
      <c r="A27" s="64" t="s">
        <v>55</v>
      </c>
      <c r="B27" s="65"/>
      <c r="C27" s="65"/>
      <c r="D27" s="66"/>
      <c r="E27" s="66"/>
      <c r="F27" s="66"/>
      <c r="G27" s="66"/>
      <c r="H27" s="67"/>
    </row>
    <row r="28" spans="1:8" s="64" customFormat="1">
      <c r="A28" s="68" t="s">
        <v>58</v>
      </c>
      <c r="B28" s="65"/>
      <c r="C28" s="65"/>
      <c r="D28" s="66"/>
      <c r="E28" s="66"/>
      <c r="F28" s="66"/>
      <c r="G28" s="66"/>
      <c r="H28" s="67"/>
    </row>
    <row r="29" spans="1:8">
      <c r="A29" s="16"/>
      <c r="B29" s="17"/>
      <c r="C29" s="17"/>
      <c r="D29" s="11"/>
      <c r="E29" s="11"/>
      <c r="F29" s="11"/>
      <c r="G29" s="11"/>
      <c r="H29" s="20"/>
    </row>
    <row r="30" spans="1:8">
      <c r="A30" s="8"/>
    </row>
    <row r="32" spans="1:8">
      <c r="B32" s="33" t="s">
        <v>6</v>
      </c>
      <c r="C32" s="33"/>
      <c r="D32" s="33"/>
      <c r="E32" s="33"/>
      <c r="F32" s="33"/>
      <c r="G32" s="33"/>
      <c r="H32" s="33"/>
    </row>
    <row r="33" spans="1:10">
      <c r="B33" s="21" t="s">
        <v>8</v>
      </c>
      <c r="C33" s="21" t="s">
        <v>52</v>
      </c>
      <c r="D33" s="21" t="s">
        <v>54</v>
      </c>
      <c r="E33" s="21" t="s">
        <v>14</v>
      </c>
      <c r="F33" s="21" t="s">
        <v>15</v>
      </c>
      <c r="G33" s="21" t="s">
        <v>16</v>
      </c>
      <c r="H33" s="50" t="s">
        <v>17</v>
      </c>
    </row>
    <row r="34" spans="1:10">
      <c r="B34" s="57" t="s">
        <v>18</v>
      </c>
      <c r="C34" s="57">
        <v>200</v>
      </c>
      <c r="D34" s="44">
        <v>11350</v>
      </c>
      <c r="E34" s="44">
        <v>6302</v>
      </c>
      <c r="F34" s="44">
        <v>1095.3800000000001</v>
      </c>
      <c r="G34" s="44">
        <v>20</v>
      </c>
      <c r="H34" s="44">
        <f>D34+F34+G34+C34</f>
        <v>12665.380000000001</v>
      </c>
    </row>
    <row r="35" spans="1:10">
      <c r="A35" s="71" t="s">
        <v>60</v>
      </c>
      <c r="B35" s="58" t="s">
        <v>20</v>
      </c>
      <c r="C35" s="58">
        <v>200</v>
      </c>
      <c r="D35" s="45">
        <v>10000</v>
      </c>
      <c r="E35" s="44">
        <v>6302</v>
      </c>
      <c r="F35" s="45">
        <v>1480.72</v>
      </c>
      <c r="G35" s="45">
        <v>59</v>
      </c>
      <c r="H35" s="44">
        <f t="shared" ref="H35:H45" si="0">D35+F35+G35+C35</f>
        <v>11739.72</v>
      </c>
    </row>
    <row r="36" spans="1:10">
      <c r="B36" s="58" t="s">
        <v>21</v>
      </c>
      <c r="C36" s="58">
        <v>509</v>
      </c>
      <c r="D36" s="45">
        <v>1700</v>
      </c>
      <c r="E36" s="44">
        <v>6302</v>
      </c>
      <c r="F36" s="45">
        <v>2003.52</v>
      </c>
      <c r="G36" s="45">
        <v>46.95</v>
      </c>
      <c r="H36" s="44">
        <f t="shared" si="0"/>
        <v>4259.4699999999993</v>
      </c>
    </row>
    <row r="37" spans="1:10">
      <c r="B37" s="58" t="s">
        <v>22</v>
      </c>
      <c r="C37" s="58">
        <v>400</v>
      </c>
      <c r="D37" s="45">
        <v>0</v>
      </c>
      <c r="E37" s="44">
        <v>6302</v>
      </c>
      <c r="F37" s="45">
        <v>636.73</v>
      </c>
      <c r="G37" s="45">
        <v>147.43</v>
      </c>
      <c r="H37" s="44">
        <f t="shared" si="0"/>
        <v>1184.1600000000001</v>
      </c>
    </row>
    <row r="38" spans="1:10">
      <c r="B38" s="58" t="s">
        <v>23</v>
      </c>
      <c r="C38" s="58">
        <v>510</v>
      </c>
      <c r="D38" s="45">
        <v>10150</v>
      </c>
      <c r="E38" s="44">
        <v>6302</v>
      </c>
      <c r="F38" s="45">
        <v>2474.9</v>
      </c>
      <c r="G38" s="45">
        <v>1315.99</v>
      </c>
      <c r="H38" s="44">
        <f t="shared" si="0"/>
        <v>14450.89</v>
      </c>
    </row>
    <row r="39" spans="1:10">
      <c r="B39" s="58" t="s">
        <v>24</v>
      </c>
      <c r="C39" s="58">
        <v>330</v>
      </c>
      <c r="D39" s="45">
        <v>2380</v>
      </c>
      <c r="E39" s="44">
        <v>6302</v>
      </c>
      <c r="F39" s="45">
        <v>4843</v>
      </c>
      <c r="G39" s="45">
        <v>223</v>
      </c>
      <c r="H39" s="44">
        <f t="shared" si="0"/>
        <v>7776</v>
      </c>
    </row>
    <row r="40" spans="1:10">
      <c r="B40" s="58" t="s">
        <v>25</v>
      </c>
      <c r="C40" s="58">
        <v>2000</v>
      </c>
      <c r="D40" s="45">
        <v>3000</v>
      </c>
      <c r="E40" s="44">
        <v>6302</v>
      </c>
      <c r="F40" s="45">
        <v>0</v>
      </c>
      <c r="G40" s="45">
        <v>1337</v>
      </c>
      <c r="H40" s="44">
        <f t="shared" si="0"/>
        <v>6337</v>
      </c>
    </row>
    <row r="41" spans="1:10" ht="14.5">
      <c r="A41" t="s">
        <v>57</v>
      </c>
      <c r="B41" s="60" t="s">
        <v>26</v>
      </c>
      <c r="C41" s="70">
        <v>2000</v>
      </c>
      <c r="D41" s="61">
        <v>1700</v>
      </c>
      <c r="E41" s="44">
        <v>6302</v>
      </c>
      <c r="F41" s="61">
        <v>2003</v>
      </c>
      <c r="G41" s="61">
        <v>214</v>
      </c>
      <c r="H41" s="44">
        <f t="shared" si="0"/>
        <v>5917</v>
      </c>
      <c r="J41" t="s">
        <v>53</v>
      </c>
    </row>
    <row r="42" spans="1:10">
      <c r="B42" s="59" t="s">
        <v>27</v>
      </c>
      <c r="C42" s="59">
        <v>0</v>
      </c>
      <c r="D42" s="54">
        <v>2300</v>
      </c>
      <c r="E42" s="44">
        <v>6302</v>
      </c>
      <c r="F42" s="54">
        <v>1129.4100000000001</v>
      </c>
      <c r="G42" s="54">
        <v>100</v>
      </c>
      <c r="H42" s="44">
        <f t="shared" si="0"/>
        <v>3529.41</v>
      </c>
    </row>
    <row r="43" spans="1:10">
      <c r="B43" s="58" t="s">
        <v>28</v>
      </c>
      <c r="C43" s="58">
        <v>0</v>
      </c>
      <c r="D43" s="45">
        <f>SUMIF($B$8:$B$30,B43,$D$8:$D$30)</f>
        <v>0</v>
      </c>
      <c r="E43" s="44">
        <v>6302</v>
      </c>
      <c r="F43" s="45">
        <v>68.7</v>
      </c>
      <c r="G43" s="45">
        <v>1272</v>
      </c>
      <c r="H43" s="44">
        <f t="shared" si="0"/>
        <v>1340.7</v>
      </c>
    </row>
    <row r="44" spans="1:10">
      <c r="B44" s="58" t="s">
        <v>29</v>
      </c>
      <c r="C44" s="58">
        <v>0</v>
      </c>
      <c r="D44" s="45">
        <f>SUMIF($B$8:$B$30,B44,$D$8:$D$30)</f>
        <v>0</v>
      </c>
      <c r="E44" s="44">
        <v>6302</v>
      </c>
      <c r="F44" s="45">
        <v>2091</v>
      </c>
      <c r="G44" s="45">
        <v>126</v>
      </c>
      <c r="H44" s="44">
        <f t="shared" si="0"/>
        <v>2217</v>
      </c>
    </row>
    <row r="45" spans="1:10">
      <c r="A45" s="71" t="s">
        <v>59</v>
      </c>
      <c r="B45" s="58" t="s">
        <v>30</v>
      </c>
      <c r="C45" s="58">
        <v>1000</v>
      </c>
      <c r="D45" s="45">
        <f>SUMIF($B$8:$B$30,B45,$D$8:$D$30)</f>
        <v>0</v>
      </c>
      <c r="E45" s="44">
        <v>6302</v>
      </c>
      <c r="F45" s="45">
        <v>0</v>
      </c>
      <c r="G45" s="45">
        <v>1568</v>
      </c>
      <c r="H45" s="44">
        <f t="shared" si="0"/>
        <v>2568</v>
      </c>
    </row>
    <row r="46" spans="1:10" ht="14.5" thickBot="1">
      <c r="B46" s="26" t="s">
        <v>31</v>
      </c>
      <c r="C46" s="69">
        <f>SUM(C34:C45)</f>
        <v>7149</v>
      </c>
      <c r="D46" s="46">
        <f>SUM(D34:D45)</f>
        <v>42580</v>
      </c>
      <c r="E46" s="46">
        <f>SUM(E34:E45)</f>
        <v>75624</v>
      </c>
      <c r="F46" s="46">
        <f>SUM(F34:F45)</f>
        <v>17826.36</v>
      </c>
      <c r="G46" s="46">
        <f>SUM(G34:G45)</f>
        <v>6429.37</v>
      </c>
      <c r="H46" s="46">
        <f>SUM(H34:H45)</f>
        <v>73984.73</v>
      </c>
    </row>
    <row r="47" spans="1:10" ht="14.5" thickTop="1"/>
    <row r="48" spans="1:10">
      <c r="B48" s="34" t="s">
        <v>32</v>
      </c>
      <c r="C48" s="35"/>
      <c r="D48" s="35"/>
      <c r="E48" s="35"/>
      <c r="F48" s="35"/>
      <c r="G48" s="35"/>
      <c r="H48" s="36"/>
    </row>
    <row r="49" spans="2:8">
      <c r="B49" s="37"/>
      <c r="C49" s="47"/>
      <c r="D49" s="38"/>
      <c r="E49" s="38"/>
      <c r="F49" s="38"/>
      <c r="G49" s="38"/>
      <c r="H49" s="39"/>
    </row>
    <row r="50" spans="2:8">
      <c r="B50" s="40"/>
      <c r="C50" s="41"/>
      <c r="D50" s="41"/>
      <c r="E50" s="41"/>
      <c r="F50" s="41"/>
      <c r="G50" s="41"/>
      <c r="H50" s="42"/>
    </row>
  </sheetData>
  <mergeCells count="12">
    <mergeCell ref="A3:B3"/>
    <mergeCell ref="A6:H6"/>
    <mergeCell ref="B32:H32"/>
    <mergeCell ref="B48:H50"/>
    <mergeCell ref="K4:L4"/>
    <mergeCell ref="K3:L3"/>
    <mergeCell ref="H4:I4"/>
    <mergeCell ref="H3:I3"/>
    <mergeCell ref="E4:F4"/>
    <mergeCell ref="E3:F3"/>
    <mergeCell ref="A4:B4"/>
    <mergeCell ref="A1:O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2023 Transactions</vt:lpstr>
      <vt:lpstr>2024 Transactions</vt:lpstr>
      <vt:lpstr>2025 Transactions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Jaiswani, Payal</dc:creator>
  <cp:lastModifiedBy>Jaiswani, Payal</cp:lastModifiedBy>
  <dcterms:created xsi:type="dcterms:W3CDTF">2026-08-28T20:13:24Z</dcterms:created>
  <dcterms:modified xsi:type="dcterms:W3CDTF">2026-08-28T20:13:24Z</dcterms:modified>
</cp:coreProperties>
</file>